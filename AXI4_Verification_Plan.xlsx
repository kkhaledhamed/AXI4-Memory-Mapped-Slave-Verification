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Test Plan" sheetId="2" state="visible" r:id="rId4"/>
    <sheet name="Sequences" sheetId="3" state="visible" r:id="rId5"/>
    <sheet name="Test Cases" sheetId="4" state="visible" r:id="rId6"/>
    <sheet name="CRT Plan" sheetId="5" state="visible" r:id="rId7"/>
    <sheet name="Func Cov" sheetId="6" state="visible" r:id="rId8"/>
    <sheet name="SVA" sheetId="7" state="visible" r:id="rId9"/>
    <sheet name="Bug Watchlist" sheetId="8" state="visible" r:id="rId10"/>
    <sheet name="Legend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<sst xmlns="http://schemas.openxmlformats.org/spreadsheetml/2006/main" count="1447" uniqueCount="794">
  <si>
    <t xml:space="preserve">Requirements Testing Matrix — AXI4 Memory-Mapped Slave</t>
  </si>
  <si>
    <t xml:space="preserve">Test Cases</t>
  </si>
  <si>
    <t xml:space="preserve">Req ID</t>
  </si>
  <si>
    <t xml:space="preserve">Requirement Description</t>
  </si>
  <si>
    <t xml:space="preserve">Type</t>
  </si>
  <si>
    <t xml:space="preserve">Priority</t>
  </si>
  <si>
    <t xml:space="preserve">TC ID</t>
  </si>
  <si>
    <t xml:space="preserve">Expected Output</t>
  </si>
  <si>
    <t xml:space="preserve">Actual Output</t>
  </si>
  <si>
    <t xml:space="preserve">Status</t>
  </si>
  <si>
    <t xml:space="preserve">TC Description</t>
  </si>
  <si>
    <t xml:space="preserve">Remarks</t>
  </si>
  <si>
    <t xml:space="preserve">REQ-001</t>
  </si>
  <si>
    <t xml:space="preserve">ARESETn (active LOW) shall drive AWREADY=1, ARREADY=1 and all VALID outputs to 0 within 1 clock</t>
  </si>
  <si>
    <t xml:space="preserve">Functional</t>
  </si>
  <si>
    <t xml:space="preserve">Critical</t>
  </si>
  <si>
    <t xml:space="preserve">TC-001</t>
  </si>
  <si>
    <t xml:space="preserve">AWREADY=1, ARREADY=1, BVALID=0, RVALID=0, RLAST=0</t>
  </si>
  <si>
    <t xml:space="preserve">Pending</t>
  </si>
  <si>
    <t xml:space="preserve">Assert ARESETn low for &gt;=2 cycles, release, sample all outputs on first active edge</t>
  </si>
  <si>
    <t xml:space="preserve">Covers power-on and mid-sim reset</t>
  </si>
  <si>
    <t xml:space="preserve">REQ-002</t>
  </si>
  <si>
    <t xml:space="preserve">Write address phase shall capture AWADDR/AWLEN/AWSIZE on AWVALID &amp;&amp; AWREADY</t>
  </si>
  <si>
    <t xml:space="preserve">Interface</t>
  </si>
  <si>
    <t xml:space="preserve">High</t>
  </si>
  <si>
    <t xml:space="preserve">TC-002</t>
  </si>
  <si>
    <t xml:space="preserve">Captured addr/len/size match driven values</t>
  </si>
  <si>
    <t xml:space="preserve">Drive a single AW beat, check DUT-captured address via passive mem-agent probe</t>
  </si>
  <si>
    <t xml:space="preserve">Driven by axi_base_seq</t>
  </si>
  <si>
    <t xml:space="preserve">REQ-003</t>
  </si>
  <si>
    <t xml:space="preserve">Slave shall assert WREADY after the address phase and accept WDATA on WVALID &amp;&amp; WREADY</t>
  </si>
  <si>
    <t xml:space="preserve">TC-003</t>
  </si>
  <si>
    <t xml:space="preserve">One memory write per accepted beat</t>
  </si>
  <si>
    <t xml:space="preserve">Single-beat write; check exactly one mem_en &amp;&amp; mem_we pulse on the memory interface</t>
  </si>
  <si>
    <t xml:space="preserve">Passive agent checker</t>
  </si>
  <si>
    <t xml:space="preserve">REQ-004</t>
  </si>
  <si>
    <t xml:space="preserve">A legal write shall commit WDATA to memory[AWADDR&gt;&gt;2]</t>
  </si>
  <si>
    <t xml:space="preserve">TC-004</t>
  </si>
  <si>
    <t xml:space="preserve">mem[addr&gt;&gt;2] == WDATA</t>
  </si>
  <si>
    <t xml:space="preserve">Write a known pattern, compare scoreboard shadow memory against mem-agent observation</t>
  </si>
  <si>
    <t xml:space="preserve">REQ-005</t>
  </si>
  <si>
    <t xml:space="preserve">Write response shall be BRESP=OKAY with BVALID=1 after WLAST for a legal write</t>
  </si>
  <si>
    <t xml:space="preserve">TC-005</t>
  </si>
  <si>
    <t xml:space="preserve">BVALID=1, BRESP=2'b00</t>
  </si>
  <si>
    <t xml:space="preserve">Complete a legal single write, sample BRESP/BVALID</t>
  </si>
  <si>
    <t xml:space="preserve">REQ-006</t>
  </si>
  <si>
    <t xml:space="preserve">BVALID shall deassert the cycle after BVALID &amp;&amp; BREADY and FSM shall return to W_IDLE</t>
  </si>
  <si>
    <t xml:space="preserve">TC-006</t>
  </si>
  <si>
    <t xml:space="preserve">BVALID falls, next write accepted</t>
  </si>
  <si>
    <t xml:space="preserve">Hold BREADY low for N cycles then assert; check BVALID falls the next cycle</t>
  </si>
  <si>
    <t xml:space="preserve">Back-pressure knob</t>
  </si>
  <si>
    <t xml:space="preserve">REQ-007</t>
  </si>
  <si>
    <t xml:space="preserve">Write to an out-of-range address shall return BRESP=SLVERR and leave memory unmodified</t>
  </si>
  <si>
    <t xml:space="preserve">Safety</t>
  </si>
  <si>
    <t xml:space="preserve">TC-007</t>
  </si>
  <si>
    <t xml:space="preserve">BRESP=2'b10, no mem_we pulse</t>
  </si>
  <si>
    <t xml:space="preserve">Write to word address &gt;= 1024 (byte addr &gt;= 0x1000)</t>
  </si>
  <si>
    <t xml:space="preserve">Directed error test</t>
  </si>
  <si>
    <t xml:space="preserve">REQ-008</t>
  </si>
  <si>
    <t xml:space="preserve">Write burst crossing a 4KB boundary shall return BRESP=SLVERR</t>
  </si>
  <si>
    <t xml:space="preserve">TC-008</t>
  </si>
  <si>
    <t xml:space="preserve">BRESP=2'b10</t>
  </si>
  <si>
    <t xml:space="preserve">Write burst whose start addr + beats crosses a 4KB boundary</t>
  </si>
  <si>
    <t xml:space="preserve">Boundary math is a bug suspect</t>
  </si>
  <si>
    <t xml:space="preserve">REQ-009</t>
  </si>
  <si>
    <t xml:space="preserve">Read address phase shall capture ARADDR/ARLEN/ARSIZE on ARVALID &amp;&amp; ARREADY</t>
  </si>
  <si>
    <t xml:space="preserve">TC-009</t>
  </si>
  <si>
    <t xml:space="preserve">Drive a single AR beat, check captured address/len/size</t>
  </si>
  <si>
    <t xml:space="preserve">REQ-010</t>
  </si>
  <si>
    <t xml:space="preserve">A legal read shall return RDATA equal to the last data written at that address</t>
  </si>
  <si>
    <t xml:space="preserve">TC-010</t>
  </si>
  <si>
    <t xml:space="preserve">RDATA == expected shadow-memory value</t>
  </si>
  <si>
    <t xml:space="preserve">Write-then-read the same address; compare RDATA against shadow memory</t>
  </si>
  <si>
    <t xml:space="preserve">Primary data-integrity check</t>
  </si>
  <si>
    <t xml:space="preserve">REQ-011</t>
  </si>
  <si>
    <t xml:space="preserve">Legal read shall return RRESP=OKAY with RVALID=1</t>
  </si>
  <si>
    <t xml:space="preserve">TC-011</t>
  </si>
  <si>
    <t xml:space="preserve">RVALID=1, RRESP=2'b00</t>
  </si>
  <si>
    <t xml:space="preserve">Legal single read, sample RRESP/RVALID</t>
  </si>
  <si>
    <t xml:space="preserve">REQ-012</t>
  </si>
  <si>
    <t xml:space="preserve">RLAST shall assert on the final beat only (beat index == ARLEN)</t>
  </si>
  <si>
    <t xml:space="preserve">TC-012</t>
  </si>
  <si>
    <t xml:space="preserve">RLAST=1 on last beat, 0 otherwise</t>
  </si>
  <si>
    <t xml:space="preserve">Burst read of length L; check RLAST high exactly once, on beat L</t>
  </si>
  <si>
    <t xml:space="preserve">REQ-013</t>
  </si>
  <si>
    <t xml:space="preserve">Read from an out-of-range address shall return RDATA=0, RRESP=SLVERR, RLAST=1</t>
  </si>
  <si>
    <t xml:space="preserve">TC-013</t>
  </si>
  <si>
    <t xml:space="preserve">RRESP=2'b10, RDATA=0, RLAST=1</t>
  </si>
  <si>
    <t xml:space="preserve">Read from byte address &gt;= 0x1000</t>
  </si>
  <si>
    <t xml:space="preserve">REQ-014</t>
  </si>
  <si>
    <t xml:space="preserve">Read burst crossing a 4KB boundary shall return RRESP=SLVERR</t>
  </si>
  <si>
    <t xml:space="preserve">TC-014</t>
  </si>
  <si>
    <t xml:space="preserve">RRESP=2'b10</t>
  </si>
  <si>
    <t xml:space="preserve">Read burst crossing a 4KB boundary</t>
  </si>
  <si>
    <t xml:space="preserve">REQ-015</t>
  </si>
  <si>
    <t xml:space="preserve">Internal memory shall be word-addressable: byte address is shifted right by 2</t>
  </si>
  <si>
    <t xml:space="preserve">TC-015</t>
  </si>
  <si>
    <t xml:space="preserve">mem_addr == AxADDR&gt;&gt;2</t>
  </si>
  <si>
    <t xml:space="preserve">Compare mem_addr observed by passive agent against AxADDR&gt;&gt;2</t>
  </si>
  <si>
    <t xml:space="preserve">REQ-016</t>
  </si>
  <si>
    <t xml:space="preserve">Memory range check shall pass only when (AxADDR&gt;&gt;2) &lt; MEMORY_DEPTH (1024)</t>
  </si>
  <si>
    <t xml:space="preserve">TC-016</t>
  </si>
  <si>
    <t xml:space="preserve">Word addr 1023 OK, 1024 SLVERR</t>
  </si>
  <si>
    <t xml:space="preserve">Directed accesses at word addr 0, 1022, 1023, 1024</t>
  </si>
  <si>
    <t xml:space="preserve">Range edge test</t>
  </si>
  <si>
    <t xml:space="preserve">REQ-017</t>
  </si>
  <si>
    <t xml:space="preserve">Memory shall write only when mem_en &amp;&amp; mem_we, and read only when mem_en &amp;&amp; !mem_we</t>
  </si>
  <si>
    <t xml:space="preserve">Structural</t>
  </si>
  <si>
    <t xml:space="preserve">TC-017</t>
  </si>
  <si>
    <t xml:space="preserve">No write on read access; no access when mem_en=0</t>
  </si>
  <si>
    <t xml:space="preserve">Idle the bus and check mem_en stays low; run reads and check mem_we stays low</t>
  </si>
  <si>
    <t xml:space="preserve">REQ-018</t>
  </si>
  <si>
    <t xml:space="preserve">Memory read shall return the full 32-bit stored word with no masking or address offset</t>
  </si>
  <si>
    <t xml:space="preserve">TC-018</t>
  </si>
  <si>
    <t xml:space="preserve">mem_rdata == memory[mem_addr], all 32 bits</t>
  </si>
  <si>
    <t xml:space="preserve">Sweep directed addresses 0, 14, 15, 16, 30, 31, 1023 with 0xFFFFFFFF data</t>
  </si>
  <si>
    <t xml:space="preserve">Targets the read-path masking/offset suspect</t>
  </si>
  <si>
    <t xml:space="preserve">REQ-019</t>
  </si>
  <si>
    <t xml:space="preserve">AWSIZE/ARSIZE shall be 3'b010 (4 bytes) for this 32-bit datapath</t>
  </si>
  <si>
    <t xml:space="preserve">Medium</t>
  </si>
  <si>
    <t xml:space="preserve">TC-019</t>
  </si>
  <si>
    <t xml:space="preserve">All transfers use size=2</t>
  </si>
  <si>
    <t xml:space="preserve">Constrain all sequences to size=2; assert any other size never appears</t>
  </si>
  <si>
    <t xml:space="preserve">REQ-020</t>
  </si>
  <si>
    <t xml:space="preserve">Address/control/data shall remain stable while VALID=1 and READY=0</t>
  </si>
  <si>
    <t xml:space="preserve">Timing</t>
  </si>
  <si>
    <t xml:space="preserve">TC-020</t>
  </si>
  <si>
    <t xml:space="preserve">No change on AxADDR/WDATA during stall</t>
  </si>
  <si>
    <t xml:space="preserve">Stall READY via the driver delay knob and sample stability assertions</t>
  </si>
  <si>
    <t xml:space="preserve">Also exercised by axi_driver_delay</t>
  </si>
  <si>
    <t xml:space="preserve">REQ-021</t>
  </si>
  <si>
    <t xml:space="preserve">Design shall accept back-to-back transactions with no idle cycles between them</t>
  </si>
  <si>
    <t xml:space="preserve">TC-021</t>
  </si>
  <si>
    <t xml:space="preserve">N transactions complete, 0 mismatches</t>
  </si>
  <si>
    <t xml:space="preserve">Run 100 back-to-back mixed read/write transactions with zero inter-transfer gap</t>
  </si>
  <si>
    <t xml:space="preserve">REQ-022</t>
  </si>
  <si>
    <t xml:space="preserve">Response encodings shall be limited to OKAY (2'b00) and SLVERR (2'b10)</t>
  </si>
  <si>
    <t xml:space="preserve">TC-022</t>
  </si>
  <si>
    <t xml:space="preserve">BRESP/RRESP never 2'b01 or 2'b11</t>
  </si>
  <si>
    <t xml:space="preserve">Cover BRESP/RRESP bins across all tests; illegal encodings bin must stay empty</t>
  </si>
  <si>
    <t xml:space="preserve">REQ-023</t>
  </si>
  <si>
    <t xml:space="preserve">Reset asserted mid-transaction shall abort cleanly and leave the slave ready for a new transaction</t>
  </si>
  <si>
    <t xml:space="preserve">TC-023</t>
  </si>
  <si>
    <t xml:space="preserve">FSMs return to IDLE, no stale VALID</t>
  </si>
  <si>
    <t xml:space="preserve">Randomly assert reset during W_DATA, W_RESP and R_DATA; resume traffic afterwards</t>
  </si>
  <si>
    <t xml:space="preserve">Reset test</t>
  </si>
  <si>
    <t xml:space="preserve">REQ-024</t>
  </si>
  <si>
    <t xml:space="preserve">Write burst shall transfer exactly AWLEN+1 beats (extra requirement)</t>
  </si>
  <si>
    <t xml:space="preserve">TC-024</t>
  </si>
  <si>
    <t xml:space="preserve">Beat count == AWLEN+1</t>
  </si>
  <si>
    <t xml:space="preserve">Burst write with AWLEN in {0,1,3,7,15}; count accepted beats</t>
  </si>
  <si>
    <t xml:space="preserve">Extra requirement</t>
  </si>
  <si>
    <t xml:space="preserve">REQ-025</t>
  </si>
  <si>
    <t xml:space="preserve">Read burst shall transfer exactly ARLEN+1 beats (extra requirement)</t>
  </si>
  <si>
    <t xml:space="preserve">TC-025</t>
  </si>
  <si>
    <t xml:space="preserve">Beat count == ARLEN+1</t>
  </si>
  <si>
    <t xml:space="preserve">Burst read with ARLEN in {0,1,3,7,15}; count returned beats</t>
  </si>
  <si>
    <t xml:space="preserve">REQ-026</t>
  </si>
  <si>
    <t xml:space="preserve">Slave shall tolerate master back-pressure on BREADY / RREADY</t>
  </si>
  <si>
    <t xml:space="preserve">TC-026</t>
  </si>
  <si>
    <t xml:space="preserve">No data loss under randomized ready delays</t>
  </si>
  <si>
    <t xml:space="preserve">Randomize BREADY/RREADY assertion delay 0-5 cycles across a long random test</t>
  </si>
  <si>
    <t xml:space="preserve">Summary</t>
  </si>
  <si>
    <t xml:space="preserve">Total Requirements</t>
  </si>
  <si>
    <t xml:space="preserve">Verified</t>
  </si>
  <si>
    <t xml:space="preserve">Failed</t>
  </si>
  <si>
    <t xml:space="preserve">Coverage %</t>
  </si>
  <si>
    <t xml:space="preserve">Test Plan (Consolidated Classes, Knob-Driven Regression)</t>
  </si>
  <si>
    <t xml:space="preserve">Class ID</t>
  </si>
  <si>
    <t xml:space="preserve">Test Class</t>
  </si>
  <si>
    <t xml:space="preserve">Role</t>
  </si>
  <si>
    <t xml:space="preserve">Regression Row ID</t>
  </si>
  <si>
    <t xml:space="preserve">Invocation (class + plusargs)</t>
  </si>
  <si>
    <t xml:space="preserve">Scenario</t>
  </si>
  <si>
    <t xml:space="preserve">Req IDs Covered</t>
  </si>
  <si>
    <t xml:space="preserve">Regression Tier</t>
  </si>
  <si>
    <t xml:space="preserve">Seeds</t>
  </si>
  <si>
    <t xml:space="preserve">CLS-01</t>
  </si>
  <si>
    <t xml:space="preserve">axi_base_test</t>
  </si>
  <si>
    <t xml:space="preserve">Abstract common setup: builds env/config, connects scoreboard + coverage. Never run directly.</t>
  </si>
  <si>
    <t xml:space="preserve">-</t>
  </si>
  <si>
    <t xml:space="preserve">N/A</t>
  </si>
  <si>
    <t xml:space="preserve">CLS-02</t>
  </si>
  <si>
    <t xml:space="preserve">axi_directed_test</t>
  </si>
  <si>
    <t xml:space="preserve">Runs one virtual sequence chaining all directed/corner/error/reset scenarios in order</t>
  </si>
  <si>
    <t xml:space="preserve">R-01</t>
  </si>
  <si>
    <t xml:space="preserve">Sanity: one legal write then one legal read at a fixed address (smoke)</t>
  </si>
  <si>
    <t xml:space="preserve">REQ-002..006, REQ-009..011</t>
  </si>
  <si>
    <t xml:space="preserve">Tier-0 (smoke)</t>
  </si>
  <si>
    <t xml:space="preserve">1</t>
  </si>
  <si>
    <t xml:space="preserve">(same class, same run — rows below are scenarios inside the one chained vseq)</t>
  </si>
  <si>
    <t xml:space="preserve">R-02</t>
  </si>
  <si>
    <t xml:space="preserve">Write-then-read across a directed address list; data integrity</t>
  </si>
  <si>
    <t xml:space="preserve">REQ-004, REQ-010, REQ-015</t>
  </si>
  <si>
    <t xml:space="preserve">Tier-0</t>
  </si>
  <si>
    <t xml:space="preserve">R-03</t>
  </si>
  <si>
    <t xml:space="preserve">Corner-address sweep: word addr 0,1,14,15,16,30,31,1022,1023; walking-1 / all-F data</t>
  </si>
  <si>
    <t xml:space="preserve">REQ-016, REQ-018</t>
  </si>
  <si>
    <t xml:space="preserve">Tier-1</t>
  </si>
  <si>
    <t xml:space="preserve">R-04</t>
  </si>
  <si>
    <t xml:space="preserve">axi_directed_test +err_mode=OOR</t>
  </si>
  <si>
    <t xml:space="preserve">Out-of-range access on both channels; expect SLVERR, no memory side-effect</t>
  </si>
  <si>
    <t xml:space="preserve">REQ-007, REQ-013</t>
  </si>
  <si>
    <t xml:space="preserve">1-3</t>
  </si>
  <si>
    <t xml:space="preserve">R-05</t>
  </si>
  <si>
    <t xml:space="preserve">axi_directed_test +err_mode=CROSS_4KB +burst_en=1</t>
  </si>
  <si>
    <t xml:space="preserve">4KB-boundary-crossing burst on both channels; expect SLVERR. Requires burst_en=1 -- a word-aligned single beat can never cross a 4KB boundary.</t>
  </si>
  <si>
    <t xml:space="preserve">REQ-008, REQ-014</t>
  </si>
  <si>
    <t xml:space="preserve">R-06</t>
  </si>
  <si>
    <t xml:space="preserve">axi_directed_test +reset_mid_txn=1</t>
  </si>
  <si>
    <t xml:space="preserve">Reset asserted during W_DATA, W_RESP and R_DATA via directed vseq (state-targeted backstop for CG-018)</t>
  </si>
  <si>
    <t xml:space="preserve">REQ-001, REQ-023</t>
  </si>
  <si>
    <t xml:space="preserve">1-5</t>
  </si>
  <si>
    <t xml:space="preserve">CLS-03</t>
  </si>
  <si>
    <t xml:space="preserve">axi_random_test</t>
  </si>
  <si>
    <t xml:space="preserve">Runs the CRT virtual sequence; behavior entirely knob-driven via uvm_config_db/plusargs read in build_phase</t>
  </si>
  <si>
    <t xml:space="preserve">R-07</t>
  </si>
  <si>
    <t xml:space="preserve">axi_random_test +n_txn=500</t>
  </si>
  <si>
    <t xml:space="preserve">500 constrained-random legal reads/writes, 50/50 weighted, full address space</t>
  </si>
  <si>
    <t xml:space="preserve">REQ-004, REQ-010, REQ-021, REQ-022</t>
  </si>
  <si>
    <t xml:space="preserve">Tier-2</t>
  </si>
  <si>
    <t xml:space="preserve">1-20</t>
  </si>
  <si>
    <t xml:space="preserve">R-08</t>
  </si>
  <si>
    <t xml:space="preserve">axi_random_test +n_txn=200 +backpressure_en=1</t>
  </si>
  <si>
    <t xml:space="preserve">Randomized BREADY/RREADY delay 0-5 cycles layered on random traffic</t>
  </si>
  <si>
    <t xml:space="preserve">REQ-006, REQ-020, REQ-026</t>
  </si>
  <si>
    <t xml:space="preserve">1-10</t>
  </si>
  <si>
    <t xml:space="preserve">R-09</t>
  </si>
  <si>
    <t xml:space="preserve">axi_random_test +n_txn=200 +err_inject_pct=20</t>
  </si>
  <si>
    <t xml:space="preserve">Random mix with 20% illegal-address injection to close SLVERR coverage bins</t>
  </si>
  <si>
    <t xml:space="preserve">REQ-007, REQ-013, REQ-022</t>
  </si>
  <si>
    <t xml:space="preserve">R-10</t>
  </si>
  <si>
    <t xml:space="preserve">axi_random_test +n_txn=200 +reset_inject_pct=5</t>
  </si>
  <si>
    <t xml:space="preserve">Background concurrent reset injector fires opportunistically during long random run (primary generator for CG-018)</t>
  </si>
  <si>
    <t xml:space="preserve">R-11</t>
  </si>
  <si>
    <t xml:space="preserve">axi_random_test +burst_en=1 +n_txn=200</t>
  </si>
  <si>
    <t xml:space="preserve">AWLEN/ARLEN in {0,1,3,7,15}, size=2; beat-count, RLAST placement and data-order checking (extra requirement)</t>
  </si>
  <si>
    <t xml:space="preserve">REQ-012, REQ-024, REQ-025</t>
  </si>
  <si>
    <t xml:space="preserve">Tier-3 (extra)</t>
  </si>
  <si>
    <t xml:space="preserve">R-12</t>
  </si>
  <si>
    <t xml:space="preserve">axi_random_test +n_txn=500 (coverage-closure loop over full seed list, UCDBs merged)</t>
  </si>
  <si>
    <t xml:space="preserve">Full-space CRT run used purely for coverage closure across the regression</t>
  </si>
  <si>
    <t xml:space="preserve">All</t>
  </si>
  <si>
    <t xml:space="preserve">CLS-04</t>
  </si>
  <si>
    <t xml:space="preserve">axi_override_test</t>
  </si>
  <si>
    <t xml:space="preserve">Extends axi_random_test; adds only the factory type-override in build_phase (before super.build_phase()) and topology print before/after — sequences unchanged</t>
  </si>
  <si>
    <t xml:space="preserve">R-13</t>
  </si>
  <si>
    <t xml:space="preserve">axi_override_test +n_txn=200</t>
  </si>
  <si>
    <t xml:space="preserve">set_type_override_by_type(axi_driver::get_type(), axi_driver_delay::get_type()); print_topology() before/after to prove the instantiated type changed</t>
  </si>
  <si>
    <t xml:space="preserve">REQ-020, REQ-021</t>
  </si>
  <si>
    <t xml:space="preserve">Note: 4 test classes total. Scenario differentiation lives in plusargs / uvm_config_db knobs (err_mode, backpressure_en, err_inject_pct, reset_inject_pct, burst_en, n_txn), read in build_phase — not in separate classes. axi_override_test is the one case that must stay a distinct class, since the requirement is specifically to change the instantiated driver type via the factory without touching the sequences. Regression Row ID (R-xx) is what the .do seed-sweep loop and coverage merge key off.</t>
  </si>
  <si>
    <t xml:space="preserve">Sequence Library</t>
  </si>
  <si>
    <t xml:space="preserve">Seq ID</t>
  </si>
  <si>
    <t xml:space="preserve">Sequence Class</t>
  </si>
  <si>
    <t xml:space="preserve">Extends / Runs On</t>
  </si>
  <si>
    <t xml:space="preserve">Item / Config Knobs Set</t>
  </si>
  <si>
    <t xml:space="preserve">Description</t>
  </si>
  <si>
    <t xml:space="preserve">Used By (Regression Rows)</t>
  </si>
  <si>
    <t xml:space="preserve">Coverage Intent</t>
  </si>
  <si>
    <t xml:space="preserve">Notes</t>
  </si>
  <si>
    <t xml:space="preserve">SEQ-00</t>
  </si>
  <si>
    <t xml:space="preserve">axi_reset_seq</t>
  </si>
  <si>
    <t xml:space="preserve">Background task in env/driver (not an item-driven data sequence)</t>
  </si>
  <si>
    <t xml:space="preserve">Drives ARESETn low N cycles at env startup; also callable standalone</t>
  </si>
  <si>
    <t xml:space="preserve">Global reset control at the start of every test</t>
  </si>
  <si>
    <t xml:space="preserve">All rows (implicit)</t>
  </si>
  <si>
    <t xml:space="preserve">REQ-001, CG-018 (idle-state bin)</t>
  </si>
  <si>
    <t xml:space="preserve">Not randomized against axi_transaction; keeps reset out of the stimulus stream (see prior discussion)</t>
  </si>
  <si>
    <t xml:space="preserve">SEQ-01</t>
  </si>
  <si>
    <t xml:space="preserve">axi_base_seq</t>
  </si>
  <si>
    <t xml:space="preserve">extends uvm_sequence #(axi_transaction) -- abstract; runs on axi_sequencer</t>
  </si>
  <si>
    <t xml:space="preserve">Common helper tasks: send_write(addr,data), send_read(addr), wait_for_resp()</t>
  </si>
  <si>
    <t xml:space="preserve">Base class for SEQ-02..SEQ-11</t>
  </si>
  <si>
    <t xml:space="preserve">All concrete sequences below extend this</t>
  </si>
  <si>
    <t xml:space="preserve">SEQ-02</t>
  </si>
  <si>
    <t xml:space="preserve">axi_single_write_seq</t>
  </si>
  <si>
    <t xml:space="preserve">extends axi_base_seq</t>
  </si>
  <si>
    <t xml:space="preserve">op=WRITE, err_mode=NONE, burst_en=0</t>
  </si>
  <si>
    <t xml:space="preserve">One legal single-beat write at a fixed/randomized legal address</t>
  </si>
  <si>
    <t xml:space="preserve">CG-001..005, CG-019..023</t>
  </si>
  <si>
    <t xml:space="preserve">Smoke-test building block</t>
  </si>
  <si>
    <t xml:space="preserve">SEQ-03</t>
  </si>
  <si>
    <t xml:space="preserve">axi_single_read_seq</t>
  </si>
  <si>
    <t xml:space="preserve">op=READ, err_mode=NONE, burst_en=0</t>
  </si>
  <si>
    <t xml:space="preserve">One legal single-beat read</t>
  </si>
  <si>
    <t xml:space="preserve">R-01, R-02</t>
  </si>
  <si>
    <t xml:space="preserve">CG-006..010, CG-019..023</t>
  </si>
  <si>
    <t xml:space="preserve">SEQ-04</t>
  </si>
  <si>
    <t xml:space="preserve">axi_write_read_seq</t>
  </si>
  <si>
    <t xml:space="preserve">calls SEQ-02 then SEQ-03 at the same address</t>
  </si>
  <si>
    <t xml:space="preserve">Write-then-read the same address; primary data-integrity vector</t>
  </si>
  <si>
    <t xml:space="preserve">REQ-004, REQ-010</t>
  </si>
  <si>
    <t xml:space="preserve">Uses the 70%-address-reuse idea from the CRT plan so reads aren't just hitting virgin memory</t>
  </si>
  <si>
    <t xml:space="preserve">SEQ-05</t>
  </si>
  <si>
    <t xml:space="preserve">axi_corner_addr_seq</t>
  </si>
  <si>
    <t xml:space="preserve">addr in directed list {0,4,56,60,64,120,124,4088,4092}; data = walking-1 / all-F</t>
  </si>
  <si>
    <t xml:space="preserve">Directed sweep of the suspicious/edge memory addresses</t>
  </si>
  <si>
    <t xml:space="preserve">CG-019, CG-022; targets BUG-01/BUG-02 watchlist rows</t>
  </si>
  <si>
    <t xml:space="preserve">SEQ-06</t>
  </si>
  <si>
    <t xml:space="preserve">axi_oor_seq</t>
  </si>
  <si>
    <t xml:space="preserve">err_mode=OOR forced on active channel</t>
  </si>
  <si>
    <t xml:space="preserve">Forces an out-of-range address on write or read</t>
  </si>
  <si>
    <t xml:space="preserve">CG-011, CG-012; SVA-014/015</t>
  </si>
  <si>
    <t xml:space="preserve">SEQ-07</t>
  </si>
  <si>
    <t xml:space="preserve">axi_4kb_cross_seq</t>
  </si>
  <si>
    <t xml:space="preserve">err_mode=CROSS_4KB forced, burst_en=1 (required)</t>
  </si>
  <si>
    <t xml:space="preserve">Forces a burst whose start+length crosses a 4KB page</t>
  </si>
  <si>
    <t xml:space="preserve">CG-011, CG-012; SVA-014/015; BUG-03 watchlist row</t>
  </si>
  <si>
    <t xml:space="preserve">Cannot fire with burst_en=0 -- a word-aligned single beat can't cross a 4KB boundary</t>
  </si>
  <si>
    <t xml:space="preserve">SEQ-08</t>
  </si>
  <si>
    <t xml:space="preserve">axi_reset_mid_txn_seq</t>
  </si>
  <si>
    <t xml:space="preserve">extends axi_base_seq (directed)</t>
  </si>
  <si>
    <t xml:space="preserve">drives a write/read, blocks on monitor state event, then calls SEQ-00 mid-flight</t>
  </si>
  <si>
    <t xml:space="preserve">Targets reset landing exactly in W_DATA, W_RESP, R_ADDR, R_DATA</t>
  </si>
  <si>
    <t xml:space="preserve">CG-018 (state-targeted backstop)</t>
  </si>
  <si>
    <t xml:space="preserve">Directed backstop for whichever FSM states the background injector (SEQ-00 in random_rw) doesn't hit by chance</t>
  </si>
  <si>
    <t xml:space="preserve">SEQ-09</t>
  </si>
  <si>
    <t xml:space="preserve">axi_random_rw_seq</t>
  </si>
  <si>
    <t xml:space="preserve">n_txn, op dist 50/50, err_inject_pct, backpressure_en, burst_en, reset_inject_pct -- all read from uvm_config_db in body()</t>
  </si>
  <si>
    <t xml:space="preserve">Long constrained-random stream; single class, behavior fully knob-driven</t>
  </si>
  <si>
    <t xml:space="preserve">R-07, R-08, R-09, R-10, R-12</t>
  </si>
  <si>
    <t xml:space="preserve">Primary generator for nearly all Func Cov bins</t>
  </si>
  <si>
    <t xml:space="preserve">Backs CLS-03 (axi_random_test) for every regression row; only the plusargs differ</t>
  </si>
  <si>
    <t xml:space="preserve">SEQ-10</t>
  </si>
  <si>
    <t xml:space="preserve">axi_burst_write_seq</t>
  </si>
  <si>
    <t xml:space="preserve">op=WRITE forced, burst_en=1, AWLEN dist {0,1,3,7,15}</t>
  </si>
  <si>
    <t xml:space="preserve">Burst write; checks beat count and write ordering (extra requirement)</t>
  </si>
  <si>
    <t xml:space="preserve">CG-004, REQ-024</t>
  </si>
  <si>
    <t xml:space="preserve">SEQ-11</t>
  </si>
  <si>
    <t xml:space="preserve">axi_burst_read_seq</t>
  </si>
  <si>
    <t xml:space="preserve">op=READ forced, burst_en=1, ARLEN dist {0,1,3,7,15}</t>
  </si>
  <si>
    <t xml:space="preserve">Burst read; checks RLAST placement and beat count (extra requirement)</t>
  </si>
  <si>
    <t xml:space="preserve">CG-008, CG-009, REQ-012, REQ-025</t>
  </si>
  <si>
    <t xml:space="preserve">SEQ-12</t>
  </si>
  <si>
    <t xml:space="preserve">axi_directed_vseq</t>
  </si>
  <si>
    <t xml:space="preserve">virtual sequence, extends uvm_sequence -- runs on virtual_sequencer</t>
  </si>
  <si>
    <t xml:space="preserve">Chains SEQ-02, SEQ-04, SEQ-05, SEQ-06, SEQ-07, SEQ-08 in fixed order</t>
  </si>
  <si>
    <t xml:space="preserve">Single entry point that drives axi_directed_test end to end</t>
  </si>
  <si>
    <t xml:space="preserve">R-01..R-06</t>
  </si>
  <si>
    <t xml:space="preserve">Backs CLS-02</t>
  </si>
  <si>
    <t xml:space="preserve">SEQ-13</t>
  </si>
  <si>
    <t xml:space="preserve">axi_random_vseq</t>
  </si>
  <si>
    <t xml:space="preserve">Wraps SEQ-09 (axi_random_rw_seq) or SEQ-10/11 depending on burst_en; reads all knobs once from config_db</t>
  </si>
  <si>
    <t xml:space="preserve">Single entry point for every random regression row; plusargs select behavior, not the class</t>
  </si>
  <si>
    <t xml:space="preserve">R-07..R-12</t>
  </si>
  <si>
    <t xml:space="preserve">Backs CLS-03 and, by extension, CLS-04 (axi_override_test extends axi_random_test unchanged)</t>
  </si>
  <si>
    <t xml:space="preserve">Test Cases -- Req -&gt; Sequence -&gt; Regression Row Traceability</t>
  </si>
  <si>
    <t xml:space="preserve">Sequence(s) Used</t>
  </si>
  <si>
    <t xml:space="preserve">Regression Row(s)</t>
  </si>
  <si>
    <t xml:space="preserve">Req ID(s)</t>
  </si>
  <si>
    <t xml:space="preserve">Expected Result</t>
  </si>
  <si>
    <t xml:space="preserve">Actual Result</t>
  </si>
  <si>
    <t xml:space="preserve">Assert ARESETn low &gt;=2 cycles, release, sample outputs on first active edge</t>
  </si>
  <si>
    <t xml:space="preserve">SEQ-00 axi_reset_seq</t>
  </si>
  <si>
    <t xml:space="preserve">R-01 (env startup, all rows)</t>
  </si>
  <si>
    <t xml:space="preserve">Drive a single AW beat; check DUT-captured address via passive mem-agent probe</t>
  </si>
  <si>
    <t xml:space="preserve">SEQ-02 axi_single_write_seq</t>
  </si>
  <si>
    <t xml:space="preserve">Single-beat write; check exactly one mem_en &amp;&amp; mem_we pulse</t>
  </si>
  <si>
    <t xml:space="preserve">Write a known pattern; compare scoreboard shadow memory vs mem-agent observation</t>
  </si>
  <si>
    <t xml:space="preserve">SEQ-02, SEQ-04</t>
  </si>
  <si>
    <t xml:space="preserve">Complete a legal single write; sample BRESP/BVALID</t>
  </si>
  <si>
    <t xml:space="preserve">Hold BREADY low N cycles then assert; check BVALID falls next cycle</t>
  </si>
  <si>
    <t xml:space="preserve">SEQ-09 axi_random_rw_seq (+backpressure_en=1)</t>
  </si>
  <si>
    <t xml:space="preserve">BVALID falls the cycle after BREADY asserts</t>
  </si>
  <si>
    <t xml:space="preserve">SEQ-06 axi_oor_seq</t>
  </si>
  <si>
    <t xml:space="preserve">Write burst whose start+len crosses a 4KB boundary</t>
  </si>
  <si>
    <t xml:space="preserve">SEQ-07 axi_4kb_cross_seq</t>
  </si>
  <si>
    <t xml:space="preserve">Drive a single AR beat; check captured address/len/size</t>
  </si>
  <si>
    <t xml:space="preserve">SEQ-03 axi_single_read_seq</t>
  </si>
  <si>
    <t xml:space="preserve">Captured values match driven values</t>
  </si>
  <si>
    <t xml:space="preserve">Write-then-read the same address; compare RDATA vs shadow memory</t>
  </si>
  <si>
    <t xml:space="preserve">SEQ-04 axi_write_read_seq</t>
  </si>
  <si>
    <t xml:space="preserve">Legal single read; sample RRESP/RVALID</t>
  </si>
  <si>
    <t xml:space="preserve">Burst read of length L; RLAST high exactly once, on beat L</t>
  </si>
  <si>
    <t xml:space="preserve">SEQ-11 axi_burst_read_seq</t>
  </si>
  <si>
    <t xml:space="preserve">RLAST asserted only on the final beat</t>
  </si>
  <si>
    <t xml:space="preserve">SEQ-07 axi_4kb_cross_seq (+burst_en=1)</t>
  </si>
  <si>
    <t xml:space="preserve">SEQ-02, SEQ-03</t>
  </si>
  <si>
    <t xml:space="preserve">SEQ-05 axi_corner_addr_seq</t>
  </si>
  <si>
    <t xml:space="preserve">Word 1023 legal, word 1024 SLVERR</t>
  </si>
  <si>
    <t xml:space="preserve">SEQ-02, SEQ-03 (idle windows via delay knobs)</t>
  </si>
  <si>
    <t xml:space="preserve">R-01, R-08</t>
  </si>
  <si>
    <t xml:space="preserve">mem_en=0 when idle; mem_we=0 on reads</t>
  </si>
  <si>
    <t xml:space="preserve">Sweep addresses 0,14,15,16,30,31,1023 with 0xFFFFFFFF data</t>
  </si>
  <si>
    <t xml:space="preserve">mem_rdata == stored word, full 32 bits, no offset</t>
  </si>
  <si>
    <t xml:space="preserve">Constrain all sequences to size=2; assert other sizes never appear</t>
  </si>
  <si>
    <t xml:space="preserve">All (size_c in axi_transaction)</t>
  </si>
  <si>
    <t xml:space="preserve">All rows</t>
  </si>
  <si>
    <t xml:space="preserve">size coverpoint illegal bin stays empty</t>
  </si>
  <si>
    <t xml:space="preserve">Stall via addr_valid_delay/ready_delay knobs; sample stability assertions</t>
  </si>
  <si>
    <t xml:space="preserve">SEQ-09 axi_random_rw_seq</t>
  </si>
  <si>
    <t xml:space="preserve">No change on AxADDR/WDATA while VALID=1, READY=0</t>
  </si>
  <si>
    <t xml:space="preserve">100 back-to-back mixed read/write, zero inter-transfer gap</t>
  </si>
  <si>
    <t xml:space="preserve">SEQ-09 axi_random_rw_seq (+backpressure_en=0)</t>
  </si>
  <si>
    <t xml:space="preserve">Cover BRESP/RRESP bins across all tests; illegal encodings must stay empty</t>
  </si>
  <si>
    <t xml:space="preserve">All sequences (passive check)</t>
  </si>
  <si>
    <t xml:space="preserve">Reset during W_DATA, W_RESP, R_DATA -- directed + background</t>
  </si>
  <si>
    <t xml:space="preserve">SEQ-08 axi_reset_mid_txn_seq; SEQ-09 (+reset_inject_pct=5)</t>
  </si>
  <si>
    <t xml:space="preserve">R-06, R-10</t>
  </si>
  <si>
    <t xml:space="preserve">Write burst AWLEN in {0,1,3,7,15}; count accepted beats</t>
  </si>
  <si>
    <t xml:space="preserve">SEQ-10 axi_burst_write_seq</t>
  </si>
  <si>
    <t xml:space="preserve">Read burst ARLEN in {0,1,3,7,15}; count returned beats</t>
  </si>
  <si>
    <t xml:space="preserve">Randomize BREADY/RREADY delay 0-5 cycles across a long random test</t>
  </si>
  <si>
    <t xml:space="preserve">Constrained Random Testing Plan — Stimulus Space &amp; Constraints</t>
  </si>
  <si>
    <t xml:space="preserve">Cons ID</t>
  </si>
  <si>
    <t xml:space="preserve">Class / Object</t>
  </si>
  <si>
    <t xml:space="preserve">Field</t>
  </si>
  <si>
    <t xml:space="preserve">Constraint / Distribution</t>
  </si>
  <si>
    <t xml:space="preserve">Rationale</t>
  </si>
  <si>
    <t xml:space="preserve">Mode Knob</t>
  </si>
  <si>
    <t xml:space="preserve">C-01</t>
  </si>
  <si>
    <t xml:space="preserve">axi_seq_item</t>
  </si>
  <si>
    <t xml:space="preserve">op</t>
  </si>
  <si>
    <t xml:space="preserve">dist { WRITE := 50, READ := 50 }</t>
  </si>
  <si>
    <t xml:space="preserve">Balanced channel exercise; re-weighted per test</t>
  </si>
  <si>
    <t xml:space="preserve">w_op_write</t>
  </si>
  <si>
    <t xml:space="preserve">C-02</t>
  </si>
  <si>
    <t xml:space="preserve">addr</t>
  </si>
  <si>
    <t xml:space="preserve">addr inside {[0 : (DEPTH*4)-4]}; addr % 4 == 0</t>
  </si>
  <si>
    <t xml:space="preserve">Legal word-aligned space for baseline CRT</t>
  </si>
  <si>
    <t xml:space="preserve">legal_addr_mode</t>
  </si>
  <si>
    <t xml:space="preserve">C-03</t>
  </si>
  <si>
    <t xml:space="preserve">soft dist { 0 := 5, [4:16] := 10, [20:4076] := 70, 4088 := 5, 4092 := 10 }</t>
  </si>
  <si>
    <t xml:space="preserve">Bias toward memory edges without losing the middle</t>
  </si>
  <si>
    <t xml:space="preserve">addr_edge_weight</t>
  </si>
  <si>
    <t xml:space="preserve">C-04</t>
  </si>
  <si>
    <t xml:space="preserve">addr inside {[4096 : 65532]} when err_mode == OOR</t>
  </si>
  <si>
    <t xml:space="preserve">Forces the out-of-range SLVERR path</t>
  </si>
  <si>
    <t xml:space="preserve">err_mode</t>
  </si>
  <si>
    <t xml:space="preserve">C-05</t>
  </si>
  <si>
    <t xml:space="preserve">(addr &amp; 12'hFFF) + ((len+1) &lt;&lt; size) &gt; 12'hFFF when err_mode == CROSS_4KB</t>
  </si>
  <si>
    <t xml:space="preserve">Forces the 4KB-boundary SLVERR path</t>
  </si>
  <si>
    <t xml:space="preserve">C-06</t>
  </si>
  <si>
    <t xml:space="preserve">size</t>
  </si>
  <si>
    <t xml:space="preserve">size == 3'b010</t>
  </si>
  <si>
    <t xml:space="preserve">32-bit datapath only supports 4-byte beats (per spec)</t>
  </si>
  <si>
    <t xml:space="preserve">allow_illegal_size</t>
  </si>
  <si>
    <t xml:space="preserve">C-07</t>
  </si>
  <si>
    <t xml:space="preserve">len</t>
  </si>
  <si>
    <t xml:space="preserve">len == 0 (base project); dist {0:=30,[1:3]:=30,[4:15]:=30,[16:255]:=10} in burst tests</t>
  </si>
  <si>
    <t xml:space="preserve">Base requirement excludes bursts; burst tests relax it</t>
  </si>
  <si>
    <t xml:space="preserve">burst_en</t>
  </si>
  <si>
    <t xml:space="preserve">C-08</t>
  </si>
  <si>
    <t xml:space="preserve">data</t>
  </si>
  <si>
    <t xml:space="preserve">dist { 0 := 5, 32'hFFFF_FFFF := 5, [1:$] :/ 90 }</t>
  </si>
  <si>
    <t xml:space="preserve">Hit all-zero / all-one corners plus general values</t>
  </si>
  <si>
    <t xml:space="preserve">C-09</t>
  </si>
  <si>
    <t xml:space="preserve">solve data before addr</t>
  </si>
  <si>
    <t xml:space="preserve">Keeps address distribution undistorted by data solving</t>
  </si>
  <si>
    <t xml:space="preserve">C-10</t>
  </si>
  <si>
    <t xml:space="preserve">awvalid_delay</t>
  </si>
  <si>
    <t xml:space="preserve">inside {[0:5]}</t>
  </si>
  <si>
    <t xml:space="preserve">Exercises VALID-before-READY and READY-before-VALID handshakes</t>
  </si>
  <si>
    <t xml:space="preserve">delay_en</t>
  </si>
  <si>
    <t xml:space="preserve">C-11</t>
  </si>
  <si>
    <t xml:space="preserve">bready_delay</t>
  </si>
  <si>
    <t xml:space="preserve">dist { 0 := 60, [1:5] :/ 40 }</t>
  </si>
  <si>
    <t xml:space="preserve">Response-channel back-pressure without starving the test</t>
  </si>
  <si>
    <t xml:space="preserve">bp_en</t>
  </si>
  <si>
    <t xml:space="preserve">C-12</t>
  </si>
  <si>
    <t xml:space="preserve">rready_delay</t>
  </si>
  <si>
    <t xml:space="preserve">Read-data back-pressure; also probes RVALID hold rule</t>
  </si>
  <si>
    <t xml:space="preserve">C-13</t>
  </si>
  <si>
    <t xml:space="preserve">axi_driver_delay</t>
  </si>
  <si>
    <t xml:space="preserve">idle_cycles</t>
  </si>
  <si>
    <t xml:space="preserve">inside {[1:8]}</t>
  </si>
  <si>
    <t xml:space="preserve">Factory-override driver: random idle gap between transfers</t>
  </si>
  <si>
    <t xml:space="preserve">C-14</t>
  </si>
  <si>
    <t xml:space="preserve">reset_cycle</t>
  </si>
  <si>
    <t xml:space="preserve">inside {[1:40]}; reset_len inside {[2:5]}</t>
  </si>
  <si>
    <t xml:space="preserve">Randomized reset injection point to hit all FSM states</t>
  </si>
  <si>
    <t xml:space="preserve">C-15</t>
  </si>
  <si>
    <t xml:space="preserve">addr (read)</t>
  </si>
  <si>
    <t xml:space="preserve">post_randomize: 70% reuse an address already written</t>
  </si>
  <si>
    <t xml:space="preserve">Makes read-data checking meaningful instead of reading virgin memory</t>
  </si>
  <si>
    <t xml:space="preserve">rd_hit_rate</t>
  </si>
  <si>
    <t xml:space="preserve">C-16</t>
  </si>
  <si>
    <t xml:space="preserve">Env-level</t>
  </si>
  <si>
    <t xml:space="preserve">transaction count</t>
  </si>
  <si>
    <t xml:space="preserve">inside {[100:500]} per random test</t>
  </si>
  <si>
    <t xml:space="preserve">Gives the coverage closure loop room without long runtimes</t>
  </si>
  <si>
    <t xml:space="preserve">n_txn</t>
  </si>
  <si>
    <t xml:space="preserve">Functional Coverage Plan (CDV)</t>
  </si>
  <si>
    <t xml:space="preserve">CovGrp ID</t>
  </si>
  <si>
    <t xml:space="preserve">Covergroup Name</t>
  </si>
  <si>
    <t xml:space="preserve">Coverpoint Name</t>
  </si>
  <si>
    <t xml:space="preserve">Bin / Cross Definition</t>
  </si>
  <si>
    <t xml:space="preserve">Legal Values / Range</t>
  </si>
  <si>
    <t xml:space="preserve">Weight</t>
  </si>
  <si>
    <t xml:space="preserve">Target Hits</t>
  </si>
  <si>
    <t xml:space="preserve">Actual Hits</t>
  </si>
  <si>
    <t xml:space="preserve">CG-001</t>
  </si>
  <si>
    <t xml:space="preserve">cg_axi_write</t>
  </si>
  <si>
    <t xml:space="preserve">cp_wr_addr_region</t>
  </si>
  <si>
    <t xml:space="preserve">zero{0}, low[4:1020], mid[1024:3068], high[3072:4088], last_word{4092}</t>
  </si>
  <si>
    <t xml:space="preserve">bin</t>
  </si>
  <si>
    <t xml:space="preserve">0 - 4092 (byte)</t>
  </si>
  <si>
    <t xml:space="preserve">2</t>
  </si>
  <si>
    <t xml:space="preserve">CG-002</t>
  </si>
  <si>
    <t xml:space="preserve">cp_wr_resp</t>
  </si>
  <si>
    <t xml:space="preserve">OKAY{2'b00}, SLVERR{2'b10}, illegal{2'b01,2'b11}</t>
  </si>
  <si>
    <t xml:space="preserve">2'b00 / 2'b10</t>
  </si>
  <si>
    <t xml:space="preserve">3</t>
  </si>
  <si>
    <t xml:space="preserve">CG-003</t>
  </si>
  <si>
    <t xml:space="preserve">cp_wr_data</t>
  </si>
  <si>
    <t xml:space="preserve">zero{0}, all_ones{32'hFFFFFFFF}, others[1:$]</t>
  </si>
  <si>
    <t xml:space="preserve">32-bit</t>
  </si>
  <si>
    <t xml:space="preserve">CG-004</t>
  </si>
  <si>
    <t xml:space="preserve">cp_wr_len</t>
  </si>
  <si>
    <t xml:space="preserve">len0{0}, short[1:3], mid[4:15], long[16:255]</t>
  </si>
  <si>
    <t xml:space="preserve">0 - 255</t>
  </si>
  <si>
    <t xml:space="preserve">CG-005</t>
  </si>
  <si>
    <t xml:space="preserve">cx_wr_region_x_resp</t>
  </si>
  <si>
    <t xml:space="preserve">cp_wr_addr_region x cp_wr_resp</t>
  </si>
  <si>
    <t xml:space="preserve">cross</t>
  </si>
  <si>
    <t xml:space="preserve">legal x OKAY, oor x SLVERR</t>
  </si>
  <si>
    <t xml:space="preserve">CG-006</t>
  </si>
  <si>
    <t xml:space="preserve">cg_axi_read</t>
  </si>
  <si>
    <t xml:space="preserve">cp_rd_addr_region</t>
  </si>
  <si>
    <t xml:space="preserve">CG-007</t>
  </si>
  <si>
    <t xml:space="preserve">cp_rd_resp</t>
  </si>
  <si>
    <t xml:space="preserve">CG-008</t>
  </si>
  <si>
    <t xml:space="preserve">cp_rd_len</t>
  </si>
  <si>
    <t xml:space="preserve">CG-009</t>
  </si>
  <si>
    <t xml:space="preserve">cp_rlast_beat</t>
  </si>
  <si>
    <t xml:space="preserve">rlast_on_last{1}, rlast_mid{0}</t>
  </si>
  <si>
    <t xml:space="preserve">1'b0 / 1'b1</t>
  </si>
  <si>
    <t xml:space="preserve">CG-010</t>
  </si>
  <si>
    <t xml:space="preserve">cx_rd_region_x_resp</t>
  </si>
  <si>
    <t xml:space="preserve">cp_rd_addr_region x cp_rd_resp</t>
  </si>
  <si>
    <t xml:space="preserve">CG-011</t>
  </si>
  <si>
    <t xml:space="preserve">cg_axi_err</t>
  </si>
  <si>
    <t xml:space="preserve">cp_err_kind</t>
  </si>
  <si>
    <t xml:space="preserve">none, out_of_range, cross_4kb</t>
  </si>
  <si>
    <t xml:space="preserve">enum</t>
  </si>
  <si>
    <t xml:space="preserve">CG-012</t>
  </si>
  <si>
    <t xml:space="preserve">cx_op_x_err</t>
  </si>
  <si>
    <t xml:space="preserve">cp_op x cp_err_kind</t>
  </si>
  <si>
    <t xml:space="preserve">WRITE/READ x 3 kinds</t>
  </si>
  <si>
    <t xml:space="preserve">CG-013</t>
  </si>
  <si>
    <t xml:space="preserve">cg_axi_size</t>
  </si>
  <si>
    <t xml:space="preserve">cp_size</t>
  </si>
  <si>
    <t xml:space="preserve">size_word{3'b010}, illegal_size{others}</t>
  </si>
  <si>
    <t xml:space="preserve">3'b010 legal</t>
  </si>
  <si>
    <t xml:space="preserve">CG-014</t>
  </si>
  <si>
    <t xml:space="preserve">cg_handshake</t>
  </si>
  <si>
    <t xml:space="preserve">cp_aw_delay</t>
  </si>
  <si>
    <t xml:space="preserve">b2b{0}, short[1:2], long[3:5]</t>
  </si>
  <si>
    <t xml:space="preserve">0 - 5 cycles</t>
  </si>
  <si>
    <t xml:space="preserve">CG-015</t>
  </si>
  <si>
    <t xml:space="preserve">cp_bready_delay</t>
  </si>
  <si>
    <t xml:space="preserve">CG-016</t>
  </si>
  <si>
    <t xml:space="preserve">cp_rready_delay</t>
  </si>
  <si>
    <t xml:space="preserve">CG-017</t>
  </si>
  <si>
    <t xml:space="preserve">cg_txn_order</t>
  </si>
  <si>
    <t xml:space="preserve">cp_op_transition</t>
  </si>
  <si>
    <t xml:space="preserve">WR=&gt;WR, WR=&gt;RD, RD=&gt;WR, RD=&gt;RD</t>
  </si>
  <si>
    <t xml:space="preserve">transition</t>
  </si>
  <si>
    <t xml:space="preserve">back-to-back ordering</t>
  </si>
  <si>
    <t xml:space="preserve">CG-018</t>
  </si>
  <si>
    <t xml:space="preserve">cg_reset</t>
  </si>
  <si>
    <t xml:space="preserve">cp_reset_state</t>
  </si>
  <si>
    <t xml:space="preserve">reset in W_IDLE, W_DATA, W_RESP, R_ADDR, R_DATA</t>
  </si>
  <si>
    <t xml:space="preserve">FSM state at reset</t>
  </si>
  <si>
    <t xml:space="preserve">CG-019</t>
  </si>
  <si>
    <t xml:space="preserve">cg_mem (passive)</t>
  </si>
  <si>
    <t xml:space="preserve">cp_mem_addr</t>
  </si>
  <si>
    <t xml:space="preserve">zero{0}, corner{14,15,16,30,31}, mid[32:1021], last{1022,1023}</t>
  </si>
  <si>
    <t xml:space="preserve">0 - 1023 (word)</t>
  </si>
  <si>
    <t xml:space="preserve">CG-020</t>
  </si>
  <si>
    <t xml:space="preserve">cp_mem_we</t>
  </si>
  <si>
    <t xml:space="preserve">write{1}, read{0}</t>
  </si>
  <si>
    <t xml:space="preserve">CG-021</t>
  </si>
  <si>
    <t xml:space="preserve">cx_mem_addr_x_we</t>
  </si>
  <si>
    <t xml:space="preserve">cp_mem_addr x cp_mem_we</t>
  </si>
  <si>
    <t xml:space="preserve">every region read and written</t>
  </si>
  <si>
    <t xml:space="preserve">CG-022</t>
  </si>
  <si>
    <t xml:space="preserve">cp_mem_rdata</t>
  </si>
  <si>
    <t xml:space="preserve">zero{0}, all_ones{32'hFFFFFFFF}, upper_nibble_set (data[31:28]!=0)</t>
  </si>
  <si>
    <t xml:space="preserve">CG-023</t>
  </si>
  <si>
    <t xml:space="preserve">cp_mem_en</t>
  </si>
  <si>
    <t xml:space="preserve">enabled{1}, idle{0}</t>
  </si>
  <si>
    <t xml:space="preserve">SystemVerilog Assertions Plan</t>
  </si>
  <si>
    <t xml:space="preserve">Assert ID</t>
  </si>
  <si>
    <t xml:space="preserve">Assertion Name</t>
  </si>
  <si>
    <t xml:space="preserve">SVA Property</t>
  </si>
  <si>
    <t xml:space="preserve">Category</t>
  </si>
  <si>
    <t xml:space="preserve">SVA-001</t>
  </si>
  <si>
    <t xml:space="preserve">p_reset_outputs</t>
  </si>
  <si>
    <t xml:space="preserve">concurrent</t>
  </si>
  <si>
    <t xml:space="preserve">@(posedge ACLK) !ARESETn |=&gt; (!BVALID &amp;&amp; !RVALID &amp;&amp; !RLAST &amp;&amp; AWREADY &amp;&amp; ARREADY)</t>
  </si>
  <si>
    <t xml:space="preserve">Pass</t>
  </si>
  <si>
    <t xml:space="preserve">SVA-002</t>
  </si>
  <si>
    <t xml:space="preserve">p_awaddr_stable</t>
  </si>
  <si>
    <t xml:space="preserve">@(posedge ACLK) disable iff(!ARESETn) (AWVALID &amp;&amp; !AWREADY) |=&gt; $stable(AWADDR)</t>
  </si>
  <si>
    <t xml:space="preserve">SVA-003</t>
  </si>
  <si>
    <t xml:space="preserve">p_awvalid_held</t>
  </si>
  <si>
    <t xml:space="preserve">@(posedge ACLK) disable iff(!ARESETn) (AWVALID &amp;&amp; !AWREADY) |=&gt; AWVALID</t>
  </si>
  <si>
    <t xml:space="preserve">SVA-004</t>
  </si>
  <si>
    <t xml:space="preserve">p_wdata_stable</t>
  </si>
  <si>
    <t xml:space="preserve">@(posedge ACLK) disable iff(!ARESETn) (WVALID &amp;&amp; !WREADY) |=&gt; $stable(WDATA)</t>
  </si>
  <si>
    <t xml:space="preserve">SVA-005</t>
  </si>
  <si>
    <t xml:space="preserve">p_araddr_stable</t>
  </si>
  <si>
    <t xml:space="preserve">@(posedge ACLK) disable iff(!ARESETn) (ARVALID &amp;&amp; !ARREADY) |=&gt; $stable(ARADDR)</t>
  </si>
  <si>
    <t xml:space="preserve">SVA-006</t>
  </si>
  <si>
    <t xml:space="preserve">p_bvalid_after_wlast</t>
  </si>
  <si>
    <t xml:space="preserve">@(posedge ACLK) disable iff(!ARESETn) (WVALID &amp;&amp; WREADY &amp;&amp; WLAST) |-&gt; ##[1:3] BVALID</t>
  </si>
  <si>
    <t xml:space="preserve">SVA-007</t>
  </si>
  <si>
    <t xml:space="preserve">p_bvalid_held</t>
  </si>
  <si>
    <t xml:space="preserve">@(posedge ACLK) disable iff(!ARESETn) (BVALID &amp;&amp; !BREADY) |=&gt; BVALID &amp;&amp; $stable(BRESP)</t>
  </si>
  <si>
    <t xml:space="preserve">SVA-008</t>
  </si>
  <si>
    <t xml:space="preserve">p_bvalid_clear</t>
  </si>
  <si>
    <t xml:space="preserve">@(posedge ACLK) disable iff(!ARESETn) (BVALID &amp;&amp; BREADY) |=&gt; !BVALID</t>
  </si>
  <si>
    <t xml:space="preserve">SVA-009</t>
  </si>
  <si>
    <t xml:space="preserve">p_rvalid_held</t>
  </si>
  <si>
    <t xml:space="preserve">@(posedge ACLK) disable iff(!ARESETn) (RVALID &amp;&amp; !RREADY) |=&gt; RVALID &amp;&amp; $stable(RDATA)</t>
  </si>
  <si>
    <t xml:space="preserve">SVA-010</t>
  </si>
  <si>
    <t xml:space="preserve">p_rvalid_needs_req</t>
  </si>
  <si>
    <t xml:space="preserve">@(posedge ACLK) disable iff(!ARESETn) RVALID |-&gt; (read_state != R_IDLE)</t>
  </si>
  <si>
    <t xml:space="preserve">SVA-011</t>
  </si>
  <si>
    <t xml:space="preserve">p_rlast_once</t>
  </si>
  <si>
    <t xml:space="preserve">@(posedge ACLK) disable iff(!ARESETn) (RVALID &amp;&amp; RREADY &amp;&amp; RLAST) |=&gt; !RLAST</t>
  </si>
  <si>
    <t xml:space="preserve">SVA-012</t>
  </si>
  <si>
    <t xml:space="preserve">p_no_x_rdata</t>
  </si>
  <si>
    <t xml:space="preserve">@(posedge ACLK) disable iff(!ARESETn) RVALID |-&gt; !$isunknown(RDATA)</t>
  </si>
  <si>
    <t xml:space="preserve">SVA-013</t>
  </si>
  <si>
    <t xml:space="preserve">p_resp_legal</t>
  </si>
  <si>
    <t xml:space="preserve">@(posedge ACLK) disable iff(!ARESETn) (BVALID |-&gt; BRESP inside {2'b00,2'b10}) and (RVALID |-&gt; RRESP inside {2'b00,2'b10})</t>
  </si>
  <si>
    <t xml:space="preserve">SVA-014</t>
  </si>
  <si>
    <t xml:space="preserve">p_err_resp_oor_wr</t>
  </si>
  <si>
    <t xml:space="preserve">@(posedge ACLK) disable iff(!ARESETn) (BVALID &amp;&amp; !write_addr_valid) |-&gt; (BRESP == 2'b10)</t>
  </si>
  <si>
    <t xml:space="preserve">SVA-015</t>
  </si>
  <si>
    <t xml:space="preserve">p_err_resp_oor_rd</t>
  </si>
  <si>
    <t xml:space="preserve">@(posedge ACLK) disable iff(!ARESETn) (RVALID &amp;&amp; !read_addr_valid) |-&gt; (RRESP == 2'b10 &amp;&amp; RDATA == '0 &amp;&amp; RLAST)</t>
  </si>
  <si>
    <t xml:space="preserve">SVA-016</t>
  </si>
  <si>
    <t xml:space="preserve">p_no_write_on_err</t>
  </si>
  <si>
    <t xml:space="preserve">@(posedge ACLK) disable iff(!ARESETn) (!write_addr_valid || write_boundary_cross) |-&gt; !(mem_en &amp;&amp; mem_we)</t>
  </si>
  <si>
    <t xml:space="preserve">SVA-017</t>
  </si>
  <si>
    <t xml:space="preserve">p_mem_addr_shift</t>
  </si>
  <si>
    <t xml:space="preserve">@(posedge ACLK) disable iff(!ARESETn) (mem_en &amp;&amp; mem_we) |-&gt; (mem_addr == (write_addr &gt;&gt; 2))</t>
  </si>
  <si>
    <t xml:space="preserve">SVA-018</t>
  </si>
  <si>
    <t xml:space="preserve">p_mem_we_implies_en</t>
  </si>
  <si>
    <t xml:space="preserve">@(posedge ACLK) disable iff(!ARESETn) mem_we |-&gt; mem_en</t>
  </si>
  <si>
    <t xml:space="preserve">SVA-019</t>
  </si>
  <si>
    <t xml:space="preserve">p_size_is_word</t>
  </si>
  <si>
    <t xml:space="preserve">@(posedge ACLK) disable iff(!ARESETn) (AWVALID |-&gt; AWSIZE == 3'b010) and (ARVALID |-&gt; ARSIZE == 3'b010)</t>
  </si>
  <si>
    <t xml:space="preserve">Constraint</t>
  </si>
  <si>
    <t xml:space="preserve">SVA-020</t>
  </si>
  <si>
    <t xml:space="preserve">p_no_deadlock_aw</t>
  </si>
  <si>
    <t xml:space="preserve">@(posedge ACLK) disable iff(!ARESETn) AWVALID |-&gt; ##[1:20] AWREADY</t>
  </si>
  <si>
    <t xml:space="preserve">SVA-021</t>
  </si>
  <si>
    <t xml:space="preserve">p_no_deadlock_b</t>
  </si>
  <si>
    <t xml:space="preserve">@(posedge ACLK) disable iff(!ARESETn) (AWVALID &amp;&amp; AWREADY) |-&gt; ##[1:50] BVALID</t>
  </si>
  <si>
    <t xml:space="preserve">SVA-022</t>
  </si>
  <si>
    <t xml:space="preserve">p_no_x_on_ctrl</t>
  </si>
  <si>
    <t xml:space="preserve">immediate</t>
  </si>
  <si>
    <t xml:space="preserve">assert final (!$isunknown({AWVALID,WVALID,ARVALID,BVALID,RVALID}))</t>
  </si>
  <si>
    <t xml:space="preserve">SVA-023</t>
  </si>
  <si>
    <t xml:space="preserve">cv_write_okay</t>
  </si>
  <si>
    <t xml:space="preserve">cover</t>
  </si>
  <si>
    <t xml:space="preserve">@(posedge ACLK) (BVALID &amp;&amp; BREADY &amp;&amp; BRESP == 2'b00)</t>
  </si>
  <si>
    <t xml:space="preserve">Reachability</t>
  </si>
  <si>
    <t xml:space="preserve">Hit</t>
  </si>
  <si>
    <t xml:space="preserve">SVA-024</t>
  </si>
  <si>
    <t xml:space="preserve">cv_write_slverr</t>
  </si>
  <si>
    <t xml:space="preserve">@(posedge ACLK) (BVALID &amp;&amp; BREADY &amp;&amp; BRESP == 2'b10)</t>
  </si>
  <si>
    <t xml:space="preserve">SVA-025</t>
  </si>
  <si>
    <t xml:space="preserve">cv_read_okay</t>
  </si>
  <si>
    <t xml:space="preserve">@(posedge ACLK) (RVALID &amp;&amp; RREADY &amp;&amp; RRESP == 2'b00)</t>
  </si>
  <si>
    <t xml:space="preserve">SVA-026</t>
  </si>
  <si>
    <t xml:space="preserve">cv_read_slverr</t>
  </si>
  <si>
    <t xml:space="preserve">@(posedge ACLK) (RVALID &amp;&amp; RREADY &amp;&amp; RRESP == 2'b10)</t>
  </si>
  <si>
    <t xml:space="preserve">SVA-027</t>
  </si>
  <si>
    <t xml:space="preserve">cv_reset_mid_txn</t>
  </si>
  <si>
    <t xml:space="preserve">@(posedge ACLK) (!ARESETn &amp;&amp; write_state == W_DATA)</t>
  </si>
  <si>
    <t xml:space="preserve">SVA-028</t>
  </si>
  <si>
    <t xml:space="preserve">as_aligned_addr</t>
  </si>
  <si>
    <t xml:space="preserve">assume</t>
  </si>
  <si>
    <t xml:space="preserve">@(posedge ACLK) AWVALID |-&gt; (AWADDR[1:0] == 2'b00)</t>
  </si>
  <si>
    <t xml:space="preserve">Suspected RTL Bugs — Detection Hooks (to confirm in simulation)</t>
  </si>
  <si>
    <t xml:space="preserve">Bug ID</t>
  </si>
  <si>
    <t xml:space="preserve">File / Line</t>
  </si>
  <si>
    <t xml:space="preserve">Observation</t>
  </si>
  <si>
    <t xml:space="preserve">Suspected Effect</t>
  </si>
  <si>
    <t xml:space="preserve">Detected By</t>
  </si>
  <si>
    <t xml:space="preserve">Req / TC</t>
  </si>
  <si>
    <t xml:space="preserve">BUG-01</t>
  </si>
  <si>
    <t xml:space="preserve">axi_memory.v : 24</t>
  </si>
  <si>
    <t xml:space="preserve">if (rst_n) mem_rdata &lt;= 0; else if (mem_en) ... — polarity looks inverted for an active-LOW reset</t>
  </si>
  <si>
    <t xml:space="preserve">Memory only operates while in reset; all normal reads return 0 and writes never commit</t>
  </si>
  <si>
    <t xml:space="preserve">TC-004 scoreboard mismatch; cg_mem cp_mem_we never hits write bin</t>
  </si>
  <si>
    <t xml:space="preserve">REQ-004 / TC-004</t>
  </si>
  <si>
    <t xml:space="preserve">Suspected</t>
  </si>
  <si>
    <t xml:space="preserve">BUG-02</t>
  </si>
  <si>
    <t xml:space="preserve">axi_memory.v : 30</t>
  </si>
  <si>
    <t xml:space="preserve">Read returns memory[mem_addr-1] &amp; 32'h0FFF_FFFF when (mem_addr % 15 == 0)</t>
  </si>
  <si>
    <t xml:space="preserve">Corrupted data and wrong address on every 15th word; underflow at address 0</t>
  </si>
  <si>
    <t xml:space="preserve">TC-018 directed sweep; cg_mem cp_mem_rdata upper_nibble bin</t>
  </si>
  <si>
    <t xml:space="preserve">REQ-018 / TC-018</t>
  </si>
  <si>
    <t xml:space="preserve">BUG-03</t>
  </si>
  <si>
    <t xml:space="preserve">axi4.v : 64-65</t>
  </si>
  <si>
    <t xml:space="preserve">Boundary math uses burst_len instead of (burst_len + 1) beats</t>
  </si>
  <si>
    <t xml:space="preserve">4KB boundary crossing not flagged on the final beat of a burst</t>
  </si>
  <si>
    <t xml:space="preserve">TC-008 / TC-014; SVA-014, SVA-015</t>
  </si>
  <si>
    <t xml:space="preserve">REQ-008 / TC-008</t>
  </si>
  <si>
    <t xml:space="preserve">BUG-04</t>
  </si>
  <si>
    <t xml:space="preserve">axi4.v : 239-252</t>
  </si>
  <si>
    <t xml:space="preserve">RDATA captured from mem_rdata in the same cycle the memory access is launched</t>
  </si>
  <si>
    <t xml:space="preserve">First read beat may return stale data (one-cycle pipeline mismatch)</t>
  </si>
  <si>
    <t xml:space="preserve">TC-010 scoreboard mismatch on the first beat</t>
  </si>
  <si>
    <t xml:space="preserve">REQ-010 / TC-010</t>
  </si>
  <si>
    <t xml:space="preserve">BUG-05</t>
  </si>
  <si>
    <t xml:space="preserve">axi4.v : 179</t>
  </si>
  <si>
    <t xml:space="preserve">Last-beat condition is (WLAST || write_burst_cnt == 0) — an early WLAST truncates the burst silently</t>
  </si>
  <si>
    <t xml:space="preserve">Burst terminates before AWLEN+1 beats with no error response</t>
  </si>
  <si>
    <t xml:space="preserve">TC-024 beat-count checker</t>
  </si>
  <si>
    <t xml:space="preserve">REQ-024 / TC-024</t>
  </si>
  <si>
    <t xml:space="preserve">BUG-06</t>
  </si>
  <si>
    <t xml:space="preserve">axi4.v : 149</t>
  </si>
  <si>
    <t xml:space="preserve">AWVALID &amp;&amp; AWREADY sampled in the same always block that drives AWREADY</t>
  </si>
  <si>
    <t xml:space="preserve">Possible extra-cycle or missed address acceptance under back-to-back traffic</t>
  </si>
  <si>
    <t xml:space="preserve">TC-021; SVA-020</t>
  </si>
  <si>
    <t xml:space="preserve">REQ-021 / TC-021</t>
  </si>
  <si>
    <t xml:space="preserve">BUG-07</t>
  </si>
  <si>
    <t xml:space="preserve">axi4.v : 64-69</t>
  </si>
  <si>
    <t xml:space="preserve">write_boundary_cross / read_boundary_cross / *_addr_valid declared implicitly (no wire declaration)</t>
  </si>
  <si>
    <t xml:space="preserve">Implicit 1-bit nets truncate wider comparisons in some tools</t>
  </si>
  <si>
    <t xml:space="preserve">Lint / compile warning review</t>
  </si>
  <si>
    <t xml:space="preserve">BUG-08</t>
  </si>
  <si>
    <t xml:space="preserve">axi4.v : 232-263</t>
  </si>
  <si>
    <t xml:space="preserve">Read error path still leaves RVALID driven from the legal-path logic</t>
  </si>
  <si>
    <t xml:space="preserve">SLVERR read may not assert RLAST correctly on multi-beat bursts</t>
  </si>
  <si>
    <t xml:space="preserve">TC-013, TC-014; SVA-015</t>
  </si>
  <si>
    <t xml:space="preserve">REQ-013 / TC-013</t>
  </si>
  <si>
    <t xml:space="preserve">Legends &amp; Reference Guide</t>
  </si>
  <si>
    <t xml:space="preserve">RTM — Status Values</t>
  </si>
  <si>
    <t xml:space="preserve">SVA — Assertion Types</t>
  </si>
  <si>
    <t xml:space="preserve">Test passed; actual output matches expected</t>
  </si>
  <si>
    <t xml:space="preserve">Clock-based; evaluated at every clock edge across multiple cycles</t>
  </si>
  <si>
    <t xml:space="preserve">Test executed but output does not match expected</t>
  </si>
  <si>
    <t xml:space="preserve">Combinational; evaluated instantly like a procedural if-statement</t>
  </si>
  <si>
    <t xml:space="preserve">Test not yet executed</t>
  </si>
  <si>
    <t xml:space="preserve">Constrains inputs for formal verification tools</t>
  </si>
  <si>
    <t xml:space="preserve">Blocked</t>
  </si>
  <si>
    <t xml:space="preserve">Cannot run due to dependency or environment issue</t>
  </si>
  <si>
    <t xml:space="preserve">Checks that a sequence or property is reachable</t>
  </si>
  <si>
    <t xml:space="preserve">Not applicable to this assignment</t>
  </si>
  <si>
    <t xml:space="preserve">SVA — Category Definitions</t>
  </si>
  <si>
    <t xml:space="preserve">RTM — Requirement Types</t>
  </si>
  <si>
    <t xml:space="preserve">Asserts that a forbidden condition never occurs</t>
  </si>
  <si>
    <t xml:space="preserve">Describes what the design must do</t>
  </si>
  <si>
    <t xml:space="preserve">Verifies correct functional behavior of the design</t>
  </si>
  <si>
    <t xml:space="preserve">Specifies setup, hold, or latency constraints</t>
  </si>
  <si>
    <t xml:space="preserve">Checks protocol correctness between sender and receiver</t>
  </si>
  <si>
    <t xml:space="preserve">Defines signal protocols and handshaking</t>
  </si>
  <si>
    <t xml:space="preserve">Verifies internal design integrity (no X/Z, no overflow)</t>
  </si>
  <si>
    <t xml:space="preserve">Covers fault detection and recovery behavior</t>
  </si>
  <si>
    <t xml:space="preserve">Cover property confirming a state or event can be reached</t>
  </si>
  <si>
    <t xml:space="preserve">Concerns internal architecture or resource limits</t>
  </si>
  <si>
    <t xml:space="preserve">Assume property restricting stimulus to legal input space</t>
  </si>
  <si>
    <t xml:space="preserve">RTM — Priority Levels</t>
  </si>
  <si>
    <t xml:space="preserve">SVA — Status Values</t>
  </si>
  <si>
    <t xml:space="preserve">Must pass; failure blocks sign-off</t>
  </si>
  <si>
    <t xml:space="preserve">Assertion evaluated and property held throughout simulation</t>
  </si>
  <si>
    <t xml:space="preserve">Core functionality; must pass for submission</t>
  </si>
  <si>
    <t xml:space="preserve">Fail</t>
  </si>
  <si>
    <t xml:space="preserve">Assertion fired; property was violated</t>
  </si>
  <si>
    <t xml:space="preserve">Important but not blocking</t>
  </si>
  <si>
    <t xml:space="preserve">Simulation not yet run for this assertion</t>
  </si>
  <si>
    <t xml:space="preserve">Low</t>
  </si>
  <si>
    <t xml:space="preserve">Nice-to-have; addressed if time permits</t>
  </si>
  <si>
    <t xml:space="preserve">Functional Coverage — Status Values</t>
  </si>
  <si>
    <t xml:space="preserve">Functional Coverage — Bin Types</t>
  </si>
  <si>
    <t xml:space="preserve">Actual hits meet or exceed the target hits</t>
  </si>
  <si>
    <t xml:space="preserve">Covers a single value or explicit list of values</t>
  </si>
  <si>
    <t xml:space="preserve">Miss</t>
  </si>
  <si>
    <t xml:space="preserve">Actual hits are below the target hits</t>
  </si>
  <si>
    <t xml:space="preserve">Covers the Cartesian product of two or more coverpoints</t>
  </si>
  <si>
    <t xml:space="preserve">Simulation not yet run for this coverpoint</t>
  </si>
  <si>
    <t xml:space="preserve">Covers a specific sequence of value changes</t>
  </si>
  <si>
    <t xml:space="preserve">wildcard</t>
  </si>
  <si>
    <t xml:space="preserve">Covers a range using wildcard bits</t>
  </si>
  <si>
    <t xml:space="preserve">Test Plan — Regression Tiers</t>
  </si>
  <si>
    <t xml:space="preserve">CRT / CDV Terms</t>
  </si>
  <si>
    <t xml:space="preserve">Must pass before any other test is run; gates the build</t>
  </si>
  <si>
    <t xml:space="preserve">CRT</t>
  </si>
  <si>
    <t xml:space="preserve">Constrained Random Testing — legal stimulus space defined by constraints</t>
  </si>
  <si>
    <t xml:space="preserve">Directed corner and error tests; run every regression</t>
  </si>
  <si>
    <t xml:space="preserve">CDV</t>
  </si>
  <si>
    <t xml:space="preserve">Coverage-Driven Verification — coverage closure decides when to stop</t>
  </si>
  <si>
    <t xml:space="preserve">Long constrained-random runs across the seed list for closure</t>
  </si>
  <si>
    <t xml:space="preserve">Knob</t>
  </si>
  <si>
    <t xml:space="preserve">Config field that re-weights or relaxes a constraint per test</t>
  </si>
  <si>
    <t xml:space="preserve">Optional burst feature tests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</si>
</sst>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4620"/>
        <bgColor rgb="FF404040"/>
      </patternFill>
    </fill>
    <fill>
      <patternFill patternType="solid">
        <fgColor rgb="FF2E7D32"/>
        <bgColor rgb="FF00800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E4620"/>
      </left>
      <right/>
      <top style="medium">
        <color rgb="FF1E4620"/>
      </top>
      <bottom style="medium">
        <color rgb="FF1E462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E4620"/>
      </left>
      <right style="medium">
        <color rgb="FF1E4620"/>
      </right>
      <top style="medium">
        <color rgb="FF1E4620"/>
      </top>
      <bottom style="medium">
        <color rgb="FF1E4620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2E7D32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1E462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2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34"/>
    <col collapsed="false" customWidth="true" hidden="false" outlineLevel="0" max="7" min="7" style="1" width="24"/>
    <col collapsed="false" customWidth="true" hidden="false" outlineLevel="0" max="8" min="8" style="1" width="11"/>
    <col collapsed="false" customWidth="true" hidden="false" outlineLevel="0" max="9" min="9" style="1" width="2"/>
    <col collapsed="false" customWidth="true" hidden="false" outlineLevel="0" max="10" min="10" style="1" width="9"/>
    <col collapsed="false" customWidth="true" hidden="false" outlineLevel="0" max="11" min="11" style="1" width="56"/>
    <col collapsed="false" customWidth="true" hidden="false" outlineLevel="0" max="12" min="12" style="1" width="30"/>
  </cols>
  <sheetData>
    <row r="2" customFormat="false" ht="24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J2" s="2" t="s">
        <v>1</v>
      </c>
      <c r="K2" s="2"/>
      <c r="L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J3" s="3" t="s">
        <v>6</v>
      </c>
      <c r="K3" s="3" t="s">
        <v>10</v>
      </c>
      <c r="L3" s="3" t="s">
        <v>11</v>
      </c>
    </row>
    <row r="4" customFormat="false" ht="23.25" hidden="false" customHeight="true" outlineLevel="0" collapsed="false">
      <c r="A4" s="4" t="s">
        <v>12</v>
      </c>
      <c r="B4" s="5" t="s">
        <v>13</v>
      </c>
      <c r="C4" s="4" t="s">
        <v>14</v>
      </c>
      <c r="D4" s="4" t="s">
        <v>15</v>
      </c>
      <c r="E4" s="4" t="s">
        <v>16</v>
      </c>
      <c r="F4" s="5" t="s">
        <v>17</v>
      </c>
      <c r="G4" s="5"/>
      <c r="H4" s="4" t="s">
        <v>18</v>
      </c>
      <c r="J4" s="4" t="s">
        <v>16</v>
      </c>
      <c r="K4" s="5" t="s">
        <v>19</v>
      </c>
      <c r="L4" s="5" t="s">
        <v>20</v>
      </c>
    </row>
    <row r="5" customFormat="false" ht="23.25" hidden="false" customHeight="true" outlineLevel="0" collapsed="false">
      <c r="A5" s="6" t="s">
        <v>21</v>
      </c>
      <c r="B5" s="7" t="s">
        <v>22</v>
      </c>
      <c r="C5" s="6" t="s">
        <v>23</v>
      </c>
      <c r="D5" s="6" t="s">
        <v>24</v>
      </c>
      <c r="E5" s="6" t="s">
        <v>25</v>
      </c>
      <c r="F5" s="7" t="s">
        <v>26</v>
      </c>
      <c r="G5" s="7"/>
      <c r="H5" s="6" t="s">
        <v>18</v>
      </c>
      <c r="J5" s="6" t="s">
        <v>25</v>
      </c>
      <c r="K5" s="7" t="s">
        <v>27</v>
      </c>
      <c r="L5" s="7" t="s">
        <v>28</v>
      </c>
    </row>
    <row r="6" customFormat="false" ht="23.25" hidden="false" customHeight="true" outlineLevel="0" collapsed="false">
      <c r="A6" s="4" t="s">
        <v>29</v>
      </c>
      <c r="B6" s="5" t="s">
        <v>30</v>
      </c>
      <c r="C6" s="4" t="s">
        <v>23</v>
      </c>
      <c r="D6" s="4" t="s">
        <v>24</v>
      </c>
      <c r="E6" s="4" t="s">
        <v>31</v>
      </c>
      <c r="F6" s="5" t="s">
        <v>32</v>
      </c>
      <c r="G6" s="5"/>
      <c r="H6" s="4" t="s">
        <v>18</v>
      </c>
      <c r="J6" s="4" t="s">
        <v>31</v>
      </c>
      <c r="K6" s="5" t="s">
        <v>33</v>
      </c>
      <c r="L6" s="5" t="s">
        <v>34</v>
      </c>
    </row>
    <row r="7" customFormat="false" ht="23.25" hidden="false" customHeight="true" outlineLevel="0" collapsed="false">
      <c r="A7" s="6" t="s">
        <v>35</v>
      </c>
      <c r="B7" s="7" t="s">
        <v>36</v>
      </c>
      <c r="C7" s="6" t="s">
        <v>14</v>
      </c>
      <c r="D7" s="6" t="s">
        <v>15</v>
      </c>
      <c r="E7" s="6" t="s">
        <v>37</v>
      </c>
      <c r="F7" s="7" t="s">
        <v>38</v>
      </c>
      <c r="G7" s="7"/>
      <c r="H7" s="6" t="s">
        <v>18</v>
      </c>
      <c r="J7" s="6" t="s">
        <v>37</v>
      </c>
      <c r="K7" s="7" t="s">
        <v>39</v>
      </c>
      <c r="L7" s="7"/>
    </row>
    <row r="8" customFormat="false" ht="23.25" hidden="false" customHeight="true" outlineLevel="0" collapsed="false">
      <c r="A8" s="4" t="s">
        <v>40</v>
      </c>
      <c r="B8" s="5" t="s">
        <v>41</v>
      </c>
      <c r="C8" s="4" t="s">
        <v>14</v>
      </c>
      <c r="D8" s="4" t="s">
        <v>24</v>
      </c>
      <c r="E8" s="4" t="s">
        <v>42</v>
      </c>
      <c r="F8" s="5" t="s">
        <v>43</v>
      </c>
      <c r="G8" s="5"/>
      <c r="H8" s="4" t="s">
        <v>18</v>
      </c>
      <c r="J8" s="4" t="s">
        <v>42</v>
      </c>
      <c r="K8" s="5" t="s">
        <v>44</v>
      </c>
      <c r="L8" s="5"/>
    </row>
    <row r="9" customFormat="false" ht="23.25" hidden="false" customHeight="true" outlineLevel="0" collapsed="false">
      <c r="A9" s="6" t="s">
        <v>45</v>
      </c>
      <c r="B9" s="7" t="s">
        <v>46</v>
      </c>
      <c r="C9" s="6" t="s">
        <v>23</v>
      </c>
      <c r="D9" s="6" t="s">
        <v>24</v>
      </c>
      <c r="E9" s="6" t="s">
        <v>47</v>
      </c>
      <c r="F9" s="7" t="s">
        <v>48</v>
      </c>
      <c r="G9" s="7"/>
      <c r="H9" s="6" t="s">
        <v>18</v>
      </c>
      <c r="J9" s="6" t="s">
        <v>47</v>
      </c>
      <c r="K9" s="7" t="s">
        <v>49</v>
      </c>
      <c r="L9" s="7" t="s">
        <v>50</v>
      </c>
    </row>
    <row r="10" customFormat="false" ht="23.25" hidden="false" customHeight="true" outlineLevel="0" collapsed="false">
      <c r="A10" s="4" t="s">
        <v>51</v>
      </c>
      <c r="B10" s="5" t="s">
        <v>52</v>
      </c>
      <c r="C10" s="4" t="s">
        <v>53</v>
      </c>
      <c r="D10" s="4" t="s">
        <v>15</v>
      </c>
      <c r="E10" s="4" t="s">
        <v>54</v>
      </c>
      <c r="F10" s="5" t="s">
        <v>55</v>
      </c>
      <c r="G10" s="5"/>
      <c r="H10" s="4" t="s">
        <v>18</v>
      </c>
      <c r="J10" s="4" t="s">
        <v>54</v>
      </c>
      <c r="K10" s="5" t="s">
        <v>56</v>
      </c>
      <c r="L10" s="5" t="s">
        <v>57</v>
      </c>
    </row>
    <row r="11" customFormat="false" ht="23.25" hidden="false" customHeight="true" outlineLevel="0" collapsed="false">
      <c r="A11" s="6" t="s">
        <v>58</v>
      </c>
      <c r="B11" s="7" t="s">
        <v>59</v>
      </c>
      <c r="C11" s="6" t="s">
        <v>53</v>
      </c>
      <c r="D11" s="6" t="s">
        <v>24</v>
      </c>
      <c r="E11" s="6" t="s">
        <v>60</v>
      </c>
      <c r="F11" s="7" t="s">
        <v>61</v>
      </c>
      <c r="G11" s="7"/>
      <c r="H11" s="6" t="s">
        <v>18</v>
      </c>
      <c r="J11" s="6" t="s">
        <v>60</v>
      </c>
      <c r="K11" s="7" t="s">
        <v>62</v>
      </c>
      <c r="L11" s="7" t="s">
        <v>63</v>
      </c>
    </row>
    <row r="12" customFormat="false" ht="23.25" hidden="false" customHeight="true" outlineLevel="0" collapsed="false">
      <c r="A12" s="4" t="s">
        <v>64</v>
      </c>
      <c r="B12" s="5" t="s">
        <v>65</v>
      </c>
      <c r="C12" s="4" t="s">
        <v>23</v>
      </c>
      <c r="D12" s="4" t="s">
        <v>24</v>
      </c>
      <c r="E12" s="4" t="s">
        <v>66</v>
      </c>
      <c r="F12" s="5" t="s">
        <v>26</v>
      </c>
      <c r="G12" s="5"/>
      <c r="H12" s="4" t="s">
        <v>18</v>
      </c>
      <c r="J12" s="4" t="s">
        <v>66</v>
      </c>
      <c r="K12" s="5" t="s">
        <v>67</v>
      </c>
      <c r="L12" s="5"/>
    </row>
    <row r="13" customFormat="false" ht="23.25" hidden="false" customHeight="true" outlineLevel="0" collapsed="false">
      <c r="A13" s="6" t="s">
        <v>68</v>
      </c>
      <c r="B13" s="7" t="s">
        <v>69</v>
      </c>
      <c r="C13" s="6" t="s">
        <v>14</v>
      </c>
      <c r="D13" s="6" t="s">
        <v>15</v>
      </c>
      <c r="E13" s="6" t="s">
        <v>70</v>
      </c>
      <c r="F13" s="7" t="s">
        <v>71</v>
      </c>
      <c r="G13" s="7"/>
      <c r="H13" s="6" t="s">
        <v>18</v>
      </c>
      <c r="J13" s="6" t="s">
        <v>70</v>
      </c>
      <c r="K13" s="7" t="s">
        <v>72</v>
      </c>
      <c r="L13" s="7" t="s">
        <v>73</v>
      </c>
    </row>
    <row r="14" customFormat="false" ht="15" hidden="false" customHeight="true" outlineLevel="0" collapsed="false">
      <c r="A14" s="4" t="s">
        <v>74</v>
      </c>
      <c r="B14" s="5" t="s">
        <v>75</v>
      </c>
      <c r="C14" s="4" t="s">
        <v>14</v>
      </c>
      <c r="D14" s="4" t="s">
        <v>24</v>
      </c>
      <c r="E14" s="4" t="s">
        <v>76</v>
      </c>
      <c r="F14" s="5" t="s">
        <v>77</v>
      </c>
      <c r="G14" s="5"/>
      <c r="H14" s="4" t="s">
        <v>18</v>
      </c>
      <c r="J14" s="4" t="s">
        <v>76</v>
      </c>
      <c r="K14" s="5" t="s">
        <v>78</v>
      </c>
      <c r="L14" s="5"/>
    </row>
    <row r="15" customFormat="false" ht="23.25" hidden="false" customHeight="true" outlineLevel="0" collapsed="false">
      <c r="A15" s="6" t="s">
        <v>79</v>
      </c>
      <c r="B15" s="7" t="s">
        <v>80</v>
      </c>
      <c r="C15" s="6" t="s">
        <v>23</v>
      </c>
      <c r="D15" s="6" t="s">
        <v>24</v>
      </c>
      <c r="E15" s="6" t="s">
        <v>81</v>
      </c>
      <c r="F15" s="7" t="s">
        <v>82</v>
      </c>
      <c r="G15" s="7"/>
      <c r="H15" s="6" t="s">
        <v>18</v>
      </c>
      <c r="J15" s="6" t="s">
        <v>81</v>
      </c>
      <c r="K15" s="7" t="s">
        <v>83</v>
      </c>
      <c r="L15" s="7"/>
    </row>
    <row r="16" customFormat="false" ht="23.25" hidden="false" customHeight="true" outlineLevel="0" collapsed="false">
      <c r="A16" s="4" t="s">
        <v>84</v>
      </c>
      <c r="B16" s="5" t="s">
        <v>85</v>
      </c>
      <c r="C16" s="4" t="s">
        <v>53</v>
      </c>
      <c r="D16" s="4" t="s">
        <v>15</v>
      </c>
      <c r="E16" s="4" t="s">
        <v>86</v>
      </c>
      <c r="F16" s="5" t="s">
        <v>87</v>
      </c>
      <c r="G16" s="5"/>
      <c r="H16" s="4" t="s">
        <v>18</v>
      </c>
      <c r="J16" s="4" t="s">
        <v>86</v>
      </c>
      <c r="K16" s="5" t="s">
        <v>88</v>
      </c>
      <c r="L16" s="5" t="s">
        <v>57</v>
      </c>
    </row>
    <row r="17" customFormat="false" ht="23.25" hidden="false" customHeight="true" outlineLevel="0" collapsed="false">
      <c r="A17" s="6" t="s">
        <v>89</v>
      </c>
      <c r="B17" s="7" t="s">
        <v>90</v>
      </c>
      <c r="C17" s="6" t="s">
        <v>53</v>
      </c>
      <c r="D17" s="6" t="s">
        <v>24</v>
      </c>
      <c r="E17" s="6" t="s">
        <v>91</v>
      </c>
      <c r="F17" s="7" t="s">
        <v>92</v>
      </c>
      <c r="G17" s="7"/>
      <c r="H17" s="6" t="s">
        <v>18</v>
      </c>
      <c r="J17" s="6" t="s">
        <v>91</v>
      </c>
      <c r="K17" s="7" t="s">
        <v>93</v>
      </c>
      <c r="L17" s="7" t="s">
        <v>63</v>
      </c>
    </row>
    <row r="18" customFormat="false" ht="23.25" hidden="false" customHeight="true" outlineLevel="0" collapsed="false">
      <c r="A18" s="4" t="s">
        <v>94</v>
      </c>
      <c r="B18" s="5" t="s">
        <v>95</v>
      </c>
      <c r="C18" s="4" t="s">
        <v>14</v>
      </c>
      <c r="D18" s="4" t="s">
        <v>24</v>
      </c>
      <c r="E18" s="4" t="s">
        <v>96</v>
      </c>
      <c r="F18" s="5" t="s">
        <v>97</v>
      </c>
      <c r="G18" s="5"/>
      <c r="H18" s="4" t="s">
        <v>18</v>
      </c>
      <c r="J18" s="4" t="s">
        <v>96</v>
      </c>
      <c r="K18" s="5" t="s">
        <v>98</v>
      </c>
      <c r="L18" s="5"/>
    </row>
    <row r="19" customFormat="false" ht="23.25" hidden="false" customHeight="true" outlineLevel="0" collapsed="false">
      <c r="A19" s="6" t="s">
        <v>99</v>
      </c>
      <c r="B19" s="7" t="s">
        <v>100</v>
      </c>
      <c r="C19" s="6" t="s">
        <v>14</v>
      </c>
      <c r="D19" s="6" t="s">
        <v>24</v>
      </c>
      <c r="E19" s="6" t="s">
        <v>101</v>
      </c>
      <c r="F19" s="7" t="s">
        <v>102</v>
      </c>
      <c r="G19" s="7"/>
      <c r="H19" s="6" t="s">
        <v>18</v>
      </c>
      <c r="J19" s="6" t="s">
        <v>101</v>
      </c>
      <c r="K19" s="7" t="s">
        <v>103</v>
      </c>
      <c r="L19" s="7" t="s">
        <v>104</v>
      </c>
    </row>
    <row r="20" customFormat="false" ht="23.25" hidden="false" customHeight="true" outlineLevel="0" collapsed="false">
      <c r="A20" s="4" t="s">
        <v>105</v>
      </c>
      <c r="B20" s="5" t="s">
        <v>106</v>
      </c>
      <c r="C20" s="4" t="s">
        <v>107</v>
      </c>
      <c r="D20" s="4" t="s">
        <v>24</v>
      </c>
      <c r="E20" s="4" t="s">
        <v>108</v>
      </c>
      <c r="F20" s="5" t="s">
        <v>109</v>
      </c>
      <c r="G20" s="5"/>
      <c r="H20" s="4" t="s">
        <v>18</v>
      </c>
      <c r="J20" s="4" t="s">
        <v>108</v>
      </c>
      <c r="K20" s="5" t="s">
        <v>110</v>
      </c>
      <c r="L20" s="5"/>
    </row>
    <row r="21" customFormat="false" ht="23.25" hidden="false" customHeight="true" outlineLevel="0" collapsed="false">
      <c r="A21" s="6" t="s">
        <v>111</v>
      </c>
      <c r="B21" s="7" t="s">
        <v>112</v>
      </c>
      <c r="C21" s="6" t="s">
        <v>14</v>
      </c>
      <c r="D21" s="6" t="s">
        <v>15</v>
      </c>
      <c r="E21" s="6" t="s">
        <v>113</v>
      </c>
      <c r="F21" s="7" t="s">
        <v>114</v>
      </c>
      <c r="G21" s="7"/>
      <c r="H21" s="6" t="s">
        <v>18</v>
      </c>
      <c r="J21" s="6" t="s">
        <v>113</v>
      </c>
      <c r="K21" s="7" t="s">
        <v>115</v>
      </c>
      <c r="L21" s="7" t="s">
        <v>116</v>
      </c>
    </row>
    <row r="22" customFormat="false" ht="23.25" hidden="false" customHeight="true" outlineLevel="0" collapsed="false">
      <c r="A22" s="4" t="s">
        <v>117</v>
      </c>
      <c r="B22" s="5" t="s">
        <v>118</v>
      </c>
      <c r="C22" s="4" t="s">
        <v>14</v>
      </c>
      <c r="D22" s="4" t="s">
        <v>119</v>
      </c>
      <c r="E22" s="4" t="s">
        <v>120</v>
      </c>
      <c r="F22" s="5" t="s">
        <v>121</v>
      </c>
      <c r="G22" s="5"/>
      <c r="H22" s="4" t="s">
        <v>18</v>
      </c>
      <c r="J22" s="4" t="s">
        <v>120</v>
      </c>
      <c r="K22" s="5" t="s">
        <v>122</v>
      </c>
      <c r="L22" s="5"/>
    </row>
    <row r="23" customFormat="false" ht="23.25" hidden="false" customHeight="true" outlineLevel="0" collapsed="false">
      <c r="A23" s="6" t="s">
        <v>123</v>
      </c>
      <c r="B23" s="7" t="s">
        <v>124</v>
      </c>
      <c r="C23" s="6" t="s">
        <v>125</v>
      </c>
      <c r="D23" s="6" t="s">
        <v>24</v>
      </c>
      <c r="E23" s="6" t="s">
        <v>126</v>
      </c>
      <c r="F23" s="7" t="s">
        <v>127</v>
      </c>
      <c r="G23" s="7"/>
      <c r="H23" s="6" t="s">
        <v>18</v>
      </c>
      <c r="J23" s="6" t="s">
        <v>126</v>
      </c>
      <c r="K23" s="7" t="s">
        <v>128</v>
      </c>
      <c r="L23" s="7" t="s">
        <v>129</v>
      </c>
    </row>
    <row r="24" customFormat="false" ht="23.25" hidden="false" customHeight="true" outlineLevel="0" collapsed="false">
      <c r="A24" s="4" t="s">
        <v>130</v>
      </c>
      <c r="B24" s="5" t="s">
        <v>131</v>
      </c>
      <c r="C24" s="4" t="s">
        <v>23</v>
      </c>
      <c r="D24" s="4" t="s">
        <v>119</v>
      </c>
      <c r="E24" s="4" t="s">
        <v>132</v>
      </c>
      <c r="F24" s="5" t="s">
        <v>133</v>
      </c>
      <c r="G24" s="5"/>
      <c r="H24" s="4" t="s">
        <v>18</v>
      </c>
      <c r="J24" s="4" t="s">
        <v>132</v>
      </c>
      <c r="K24" s="5" t="s">
        <v>134</v>
      </c>
      <c r="L24" s="5"/>
    </row>
    <row r="25" customFormat="false" ht="23.25" hidden="false" customHeight="true" outlineLevel="0" collapsed="false">
      <c r="A25" s="6" t="s">
        <v>135</v>
      </c>
      <c r="B25" s="7" t="s">
        <v>136</v>
      </c>
      <c r="C25" s="6" t="s">
        <v>14</v>
      </c>
      <c r="D25" s="6" t="s">
        <v>119</v>
      </c>
      <c r="E25" s="6" t="s">
        <v>137</v>
      </c>
      <c r="F25" s="7" t="s">
        <v>138</v>
      </c>
      <c r="G25" s="7"/>
      <c r="H25" s="6" t="s">
        <v>18</v>
      </c>
      <c r="J25" s="6" t="s">
        <v>137</v>
      </c>
      <c r="K25" s="7" t="s">
        <v>139</v>
      </c>
      <c r="L25" s="7"/>
    </row>
    <row r="26" customFormat="false" ht="23.25" hidden="false" customHeight="true" outlineLevel="0" collapsed="false">
      <c r="A26" s="4" t="s">
        <v>140</v>
      </c>
      <c r="B26" s="5" t="s">
        <v>141</v>
      </c>
      <c r="C26" s="4" t="s">
        <v>53</v>
      </c>
      <c r="D26" s="4" t="s">
        <v>24</v>
      </c>
      <c r="E26" s="4" t="s">
        <v>142</v>
      </c>
      <c r="F26" s="5" t="s">
        <v>143</v>
      </c>
      <c r="G26" s="5"/>
      <c r="H26" s="4" t="s">
        <v>18</v>
      </c>
      <c r="J26" s="4" t="s">
        <v>142</v>
      </c>
      <c r="K26" s="5" t="s">
        <v>144</v>
      </c>
      <c r="L26" s="5" t="s">
        <v>145</v>
      </c>
    </row>
    <row r="27" customFormat="false" ht="23.25" hidden="false" customHeight="true" outlineLevel="0" collapsed="false">
      <c r="A27" s="6" t="s">
        <v>146</v>
      </c>
      <c r="B27" s="7" t="s">
        <v>147</v>
      </c>
      <c r="C27" s="6" t="s">
        <v>14</v>
      </c>
      <c r="D27" s="6" t="s">
        <v>119</v>
      </c>
      <c r="E27" s="6" t="s">
        <v>148</v>
      </c>
      <c r="F27" s="7" t="s">
        <v>149</v>
      </c>
      <c r="G27" s="7"/>
      <c r="H27" s="6" t="s">
        <v>18</v>
      </c>
      <c r="J27" s="6" t="s">
        <v>148</v>
      </c>
      <c r="K27" s="7" t="s">
        <v>150</v>
      </c>
      <c r="L27" s="7" t="s">
        <v>151</v>
      </c>
    </row>
    <row r="28" customFormat="false" ht="23.25" hidden="false" customHeight="true" outlineLevel="0" collapsed="false">
      <c r="A28" s="4" t="s">
        <v>152</v>
      </c>
      <c r="B28" s="5" t="s">
        <v>153</v>
      </c>
      <c r="C28" s="4" t="s">
        <v>14</v>
      </c>
      <c r="D28" s="4" t="s">
        <v>119</v>
      </c>
      <c r="E28" s="4" t="s">
        <v>154</v>
      </c>
      <c r="F28" s="5" t="s">
        <v>155</v>
      </c>
      <c r="G28" s="5"/>
      <c r="H28" s="4" t="s">
        <v>18</v>
      </c>
      <c r="J28" s="4" t="s">
        <v>154</v>
      </c>
      <c r="K28" s="5" t="s">
        <v>156</v>
      </c>
      <c r="L28" s="5" t="s">
        <v>151</v>
      </c>
    </row>
    <row r="29" customFormat="false" ht="23.25" hidden="false" customHeight="true" outlineLevel="0" collapsed="false">
      <c r="A29" s="6" t="s">
        <v>157</v>
      </c>
      <c r="B29" s="7" t="s">
        <v>158</v>
      </c>
      <c r="C29" s="6" t="s">
        <v>23</v>
      </c>
      <c r="D29" s="6" t="s">
        <v>119</v>
      </c>
      <c r="E29" s="6" t="s">
        <v>159</v>
      </c>
      <c r="F29" s="7" t="s">
        <v>160</v>
      </c>
      <c r="G29" s="7"/>
      <c r="H29" s="6" t="s">
        <v>18</v>
      </c>
      <c r="J29" s="6" t="s">
        <v>159</v>
      </c>
      <c r="K29" s="7" t="s">
        <v>161</v>
      </c>
      <c r="L29" s="7"/>
    </row>
    <row r="31" customFormat="false" ht="15" hidden="false" customHeight="true" outlineLevel="0" collapsed="false">
      <c r="A31" s="8" t="s">
        <v>162</v>
      </c>
      <c r="B31" s="8"/>
      <c r="C31" s="8"/>
    </row>
    <row r="32" customFormat="false" ht="15" hidden="false" customHeight="true" outlineLevel="0" collapsed="false">
      <c r="A32" s="9" t="s">
        <v>163</v>
      </c>
      <c r="B32" s="10" t="n">
        <f aca="false">COUNTA(A4:A29)</f>
        <v>26</v>
      </c>
      <c r="C32" s="10"/>
    </row>
    <row r="33" customFormat="false" ht="15" hidden="false" customHeight="true" outlineLevel="0" collapsed="false">
      <c r="A33" s="9" t="s">
        <v>164</v>
      </c>
      <c r="B33" s="10" t="n">
        <f aca="false">COUNTIF(H4:H29,"Verified")</f>
        <v>0</v>
      </c>
      <c r="C33" s="10"/>
    </row>
    <row r="34" customFormat="false" ht="15" hidden="false" customHeight="true" outlineLevel="0" collapsed="false">
      <c r="A34" s="9" t="s">
        <v>165</v>
      </c>
      <c r="B34" s="10" t="n">
        <f aca="false">COUNTIF(H4:H29,"Failed")</f>
        <v>0</v>
      </c>
      <c r="C34" s="10"/>
    </row>
    <row r="35" customFormat="false" ht="15" hidden="false" customHeight="true" outlineLevel="0" collapsed="false">
      <c r="A35" s="9" t="s">
        <v>18</v>
      </c>
      <c r="B35" s="10" t="n">
        <f aca="false">COUNTIF(H4:H29,"Pending")</f>
        <v>26</v>
      </c>
      <c r="C35" s="10"/>
    </row>
    <row r="36" customFormat="false" ht="15" hidden="false" customHeight="true" outlineLevel="0" collapsed="false">
      <c r="A36" s="9" t="s">
        <v>166</v>
      </c>
      <c r="B36" s="10" t="n">
        <f aca="false">IFERROR(COUNTIF(H4:H29,"Verified")/COUNTA(A4:A29)*100,0)</f>
        <v>0</v>
      </c>
      <c r="C36" s="10"/>
    </row>
  </sheetData>
  <mergeCells count="8">
    <mergeCell ref="A2:H2"/>
    <mergeCell ref="J2:L2"/>
    <mergeCell ref="A31:C31"/>
    <mergeCell ref="B32:C32"/>
    <mergeCell ref="B33:C33"/>
    <mergeCell ref="B34:C34"/>
    <mergeCell ref="B35:C35"/>
    <mergeCell ref="B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6" min="6" style="0" width="54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9"/>
    <col collapsed="false" customWidth="true" hidden="false" outlineLevel="0" max="10" min="10" style="0" width="10"/>
  </cols>
  <sheetData>
    <row r="2" customFormat="false" ht="24" hidden="false" customHeight="true" outlineLevel="0" collapsed="false">
      <c r="A2" s="11" t="s">
        <v>167</v>
      </c>
      <c r="B2" s="11"/>
      <c r="C2" s="11"/>
      <c r="D2" s="11"/>
      <c r="E2" s="11"/>
      <c r="F2" s="11"/>
      <c r="G2" s="11"/>
      <c r="H2" s="11"/>
      <c r="I2" s="11"/>
      <c r="J2" s="11"/>
    </row>
    <row r="3" customFormat="false" ht="30" hidden="false" customHeight="true" outlineLevel="0" collapsed="false">
      <c r="A3" s="3" t="s">
        <v>168</v>
      </c>
      <c r="B3" s="3" t="s">
        <v>169</v>
      </c>
      <c r="C3" s="3" t="s">
        <v>170</v>
      </c>
      <c r="D3" s="3" t="s">
        <v>171</v>
      </c>
      <c r="E3" s="3" t="s">
        <v>172</v>
      </c>
      <c r="F3" s="3" t="s">
        <v>173</v>
      </c>
      <c r="G3" s="3" t="s">
        <v>174</v>
      </c>
      <c r="H3" s="3" t="s">
        <v>175</v>
      </c>
      <c r="I3" s="3" t="s">
        <v>176</v>
      </c>
      <c r="J3" s="3" t="s">
        <v>9</v>
      </c>
    </row>
    <row r="4" customFormat="false" ht="23.85" hidden="false" customHeight="false" outlineLevel="0" collapsed="false">
      <c r="A4" s="4" t="s">
        <v>177</v>
      </c>
      <c r="B4" s="5" t="s">
        <v>178</v>
      </c>
      <c r="C4" s="5" t="s">
        <v>179</v>
      </c>
      <c r="D4" s="4" t="s">
        <v>180</v>
      </c>
      <c r="E4" s="5" t="s">
        <v>180</v>
      </c>
      <c r="F4" s="5" t="s">
        <v>180</v>
      </c>
      <c r="G4" s="4" t="s">
        <v>180</v>
      </c>
      <c r="H4" s="4" t="s">
        <v>180</v>
      </c>
      <c r="I4" s="4" t="s">
        <v>180</v>
      </c>
      <c r="J4" s="4" t="s">
        <v>181</v>
      </c>
    </row>
    <row r="5" customFormat="false" ht="23.85" hidden="false" customHeight="false" outlineLevel="0" collapsed="false">
      <c r="A5" s="6" t="s">
        <v>182</v>
      </c>
      <c r="B5" s="7" t="s">
        <v>183</v>
      </c>
      <c r="C5" s="7" t="s">
        <v>184</v>
      </c>
      <c r="D5" s="6" t="s">
        <v>185</v>
      </c>
      <c r="E5" s="7" t="s">
        <v>183</v>
      </c>
      <c r="F5" s="7" t="s">
        <v>186</v>
      </c>
      <c r="G5" s="6" t="s">
        <v>187</v>
      </c>
      <c r="H5" s="6" t="s">
        <v>188</v>
      </c>
      <c r="I5" s="6" t="s">
        <v>189</v>
      </c>
      <c r="J5" s="6" t="s">
        <v>18</v>
      </c>
    </row>
    <row r="6" customFormat="false" ht="23.85" hidden="false" customHeight="false" outlineLevel="0" collapsed="false">
      <c r="A6" s="4" t="s">
        <v>182</v>
      </c>
      <c r="B6" s="5" t="s">
        <v>183</v>
      </c>
      <c r="C6" s="5" t="s">
        <v>190</v>
      </c>
      <c r="D6" s="4" t="s">
        <v>191</v>
      </c>
      <c r="E6" s="5" t="s">
        <v>183</v>
      </c>
      <c r="F6" s="5" t="s">
        <v>192</v>
      </c>
      <c r="G6" s="4" t="s">
        <v>193</v>
      </c>
      <c r="H6" s="4" t="s">
        <v>194</v>
      </c>
      <c r="I6" s="4" t="s">
        <v>189</v>
      </c>
      <c r="J6" s="4" t="s">
        <v>18</v>
      </c>
    </row>
    <row r="7" customFormat="false" ht="23.85" hidden="false" customHeight="false" outlineLevel="0" collapsed="false">
      <c r="A7" s="6" t="s">
        <v>182</v>
      </c>
      <c r="B7" s="7" t="s">
        <v>183</v>
      </c>
      <c r="C7" s="7"/>
      <c r="D7" s="6" t="s">
        <v>195</v>
      </c>
      <c r="E7" s="7" t="s">
        <v>183</v>
      </c>
      <c r="F7" s="7" t="s">
        <v>196</v>
      </c>
      <c r="G7" s="6" t="s">
        <v>197</v>
      </c>
      <c r="H7" s="6" t="s">
        <v>198</v>
      </c>
      <c r="I7" s="6" t="s">
        <v>189</v>
      </c>
      <c r="J7" s="6" t="s">
        <v>18</v>
      </c>
    </row>
    <row r="8" customFormat="false" ht="23.85" hidden="false" customHeight="false" outlineLevel="0" collapsed="false">
      <c r="A8" s="4" t="s">
        <v>182</v>
      </c>
      <c r="B8" s="5" t="s">
        <v>183</v>
      </c>
      <c r="C8" s="5"/>
      <c r="D8" s="4" t="s">
        <v>199</v>
      </c>
      <c r="E8" s="5" t="s">
        <v>200</v>
      </c>
      <c r="F8" s="5" t="s">
        <v>201</v>
      </c>
      <c r="G8" s="4" t="s">
        <v>202</v>
      </c>
      <c r="H8" s="4" t="s">
        <v>198</v>
      </c>
      <c r="I8" s="4" t="s">
        <v>203</v>
      </c>
      <c r="J8" s="4" t="s">
        <v>18</v>
      </c>
    </row>
    <row r="9" customFormat="false" ht="35.05" hidden="false" customHeight="false" outlineLevel="0" collapsed="false">
      <c r="A9" s="6" t="s">
        <v>182</v>
      </c>
      <c r="B9" s="7" t="s">
        <v>183</v>
      </c>
      <c r="C9" s="7"/>
      <c r="D9" s="6" t="s">
        <v>204</v>
      </c>
      <c r="E9" s="7" t="s">
        <v>205</v>
      </c>
      <c r="F9" s="7" t="s">
        <v>206</v>
      </c>
      <c r="G9" s="6" t="s">
        <v>207</v>
      </c>
      <c r="H9" s="6" t="s">
        <v>198</v>
      </c>
      <c r="I9" s="6" t="s">
        <v>203</v>
      </c>
      <c r="J9" s="6" t="s">
        <v>18</v>
      </c>
    </row>
    <row r="10" customFormat="false" ht="23.85" hidden="false" customHeight="false" outlineLevel="0" collapsed="false">
      <c r="A10" s="12" t="s">
        <v>182</v>
      </c>
      <c r="B10" s="13" t="s">
        <v>183</v>
      </c>
      <c r="C10" s="13"/>
      <c r="D10" s="12" t="s">
        <v>208</v>
      </c>
      <c r="E10" s="13" t="s">
        <v>209</v>
      </c>
      <c r="F10" s="13" t="s">
        <v>210</v>
      </c>
      <c r="G10" s="12" t="s">
        <v>211</v>
      </c>
      <c r="H10" s="12" t="s">
        <v>198</v>
      </c>
      <c r="I10" s="12" t="s">
        <v>212</v>
      </c>
      <c r="J10" s="12" t="s">
        <v>18</v>
      </c>
    </row>
    <row r="11" customFormat="false" ht="23.85" hidden="false" customHeight="false" outlineLevel="0" collapsed="false">
      <c r="A11" s="6" t="s">
        <v>213</v>
      </c>
      <c r="B11" s="7" t="s">
        <v>214</v>
      </c>
      <c r="C11" s="7" t="s">
        <v>215</v>
      </c>
      <c r="D11" s="6" t="s">
        <v>216</v>
      </c>
      <c r="E11" s="7" t="s">
        <v>217</v>
      </c>
      <c r="F11" s="7" t="s">
        <v>218</v>
      </c>
      <c r="G11" s="6" t="s">
        <v>219</v>
      </c>
      <c r="H11" s="6" t="s">
        <v>220</v>
      </c>
      <c r="I11" s="6" t="s">
        <v>221</v>
      </c>
      <c r="J11" s="6" t="s">
        <v>18</v>
      </c>
    </row>
    <row r="12" customFormat="false" ht="23.85" hidden="false" customHeight="false" outlineLevel="0" collapsed="false">
      <c r="A12" s="4" t="s">
        <v>213</v>
      </c>
      <c r="B12" s="5" t="s">
        <v>214</v>
      </c>
      <c r="C12" s="5"/>
      <c r="D12" s="4" t="s">
        <v>222</v>
      </c>
      <c r="E12" s="5" t="s">
        <v>223</v>
      </c>
      <c r="F12" s="5" t="s">
        <v>224</v>
      </c>
      <c r="G12" s="4" t="s">
        <v>225</v>
      </c>
      <c r="H12" s="4" t="s">
        <v>220</v>
      </c>
      <c r="I12" s="4" t="s">
        <v>226</v>
      </c>
      <c r="J12" s="4" t="s">
        <v>18</v>
      </c>
    </row>
    <row r="13" customFormat="false" ht="23.85" hidden="false" customHeight="false" outlineLevel="0" collapsed="false">
      <c r="A13" s="6" t="s">
        <v>213</v>
      </c>
      <c r="B13" s="7" t="s">
        <v>214</v>
      </c>
      <c r="C13" s="7"/>
      <c r="D13" s="6" t="s">
        <v>227</v>
      </c>
      <c r="E13" s="7" t="s">
        <v>228</v>
      </c>
      <c r="F13" s="7" t="s">
        <v>229</v>
      </c>
      <c r="G13" s="6" t="s">
        <v>230</v>
      </c>
      <c r="H13" s="6" t="s">
        <v>220</v>
      </c>
      <c r="I13" s="6" t="s">
        <v>226</v>
      </c>
      <c r="J13" s="6" t="s">
        <v>18</v>
      </c>
    </row>
    <row r="14" customFormat="false" ht="23.85" hidden="false" customHeight="false" outlineLevel="0" collapsed="false">
      <c r="A14" s="4" t="s">
        <v>213</v>
      </c>
      <c r="B14" s="5" t="s">
        <v>214</v>
      </c>
      <c r="C14" s="5"/>
      <c r="D14" s="4" t="s">
        <v>231</v>
      </c>
      <c r="E14" s="5" t="s">
        <v>232</v>
      </c>
      <c r="F14" s="5" t="s">
        <v>233</v>
      </c>
      <c r="G14" s="4" t="s">
        <v>211</v>
      </c>
      <c r="H14" s="4" t="s">
        <v>220</v>
      </c>
      <c r="I14" s="4" t="s">
        <v>221</v>
      </c>
      <c r="J14" s="4" t="s">
        <v>18</v>
      </c>
    </row>
    <row r="15" customFormat="false" ht="23.85" hidden="false" customHeight="false" outlineLevel="0" collapsed="false">
      <c r="A15" s="6" t="s">
        <v>213</v>
      </c>
      <c r="B15" s="7" t="s">
        <v>214</v>
      </c>
      <c r="C15" s="7"/>
      <c r="D15" s="6" t="s">
        <v>234</v>
      </c>
      <c r="E15" s="7" t="s">
        <v>235</v>
      </c>
      <c r="F15" s="7" t="s">
        <v>236</v>
      </c>
      <c r="G15" s="6" t="s">
        <v>237</v>
      </c>
      <c r="H15" s="6" t="s">
        <v>238</v>
      </c>
      <c r="I15" s="6" t="s">
        <v>226</v>
      </c>
      <c r="J15" s="6" t="s">
        <v>18</v>
      </c>
    </row>
    <row r="16" customFormat="false" ht="35.05" hidden="false" customHeight="false" outlineLevel="0" collapsed="false">
      <c r="A16" s="12" t="s">
        <v>213</v>
      </c>
      <c r="B16" s="13" t="s">
        <v>214</v>
      </c>
      <c r="C16" s="13"/>
      <c r="D16" s="12" t="s">
        <v>239</v>
      </c>
      <c r="E16" s="13" t="s">
        <v>240</v>
      </c>
      <c r="F16" s="13" t="s">
        <v>241</v>
      </c>
      <c r="G16" s="12" t="s">
        <v>242</v>
      </c>
      <c r="H16" s="12" t="s">
        <v>220</v>
      </c>
      <c r="I16" s="12" t="s">
        <v>221</v>
      </c>
      <c r="J16" s="12" t="s">
        <v>18</v>
      </c>
    </row>
    <row r="17" customFormat="false" ht="35.05" hidden="false" customHeight="false" outlineLevel="0" collapsed="false">
      <c r="A17" s="6" t="s">
        <v>243</v>
      </c>
      <c r="B17" s="7" t="s">
        <v>244</v>
      </c>
      <c r="C17" s="7" t="s">
        <v>245</v>
      </c>
      <c r="D17" s="6" t="s">
        <v>246</v>
      </c>
      <c r="E17" s="7" t="s">
        <v>247</v>
      </c>
      <c r="F17" s="7" t="s">
        <v>248</v>
      </c>
      <c r="G17" s="6" t="s">
        <v>249</v>
      </c>
      <c r="H17" s="6" t="s">
        <v>198</v>
      </c>
      <c r="I17" s="6" t="s">
        <v>189</v>
      </c>
      <c r="J17" s="6" t="s">
        <v>18</v>
      </c>
    </row>
    <row r="19" customFormat="false" ht="45.75" hidden="false" customHeight="true" outlineLevel="0" collapsed="false">
      <c r="A19" s="14" t="s">
        <v>250</v>
      </c>
      <c r="B19" s="14"/>
      <c r="C19" s="14"/>
      <c r="D19" s="14"/>
      <c r="E19" s="14"/>
      <c r="F19" s="14"/>
      <c r="G19" s="14"/>
      <c r="H19" s="14"/>
      <c r="I19" s="14"/>
      <c r="J19" s="14"/>
    </row>
  </sheetData>
  <mergeCells count="2">
    <mergeCell ref="A2:J2"/>
    <mergeCell ref="A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50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8" min="8" style="0" width="46"/>
  </cols>
  <sheetData>
    <row r="2" customFormat="false" ht="24" hidden="false" customHeight="true" outlineLevel="0" collapsed="false">
      <c r="A2" s="2" t="s">
        <v>251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252</v>
      </c>
      <c r="B3" s="3" t="s">
        <v>253</v>
      </c>
      <c r="C3" s="3" t="s">
        <v>254</v>
      </c>
      <c r="D3" s="3" t="s">
        <v>255</v>
      </c>
      <c r="E3" s="3" t="s">
        <v>256</v>
      </c>
      <c r="F3" s="3" t="s">
        <v>257</v>
      </c>
      <c r="G3" s="3" t="s">
        <v>258</v>
      </c>
      <c r="H3" s="3" t="s">
        <v>259</v>
      </c>
    </row>
    <row r="4" customFormat="false" ht="23.85" hidden="false" customHeight="false" outlineLevel="0" collapsed="false">
      <c r="A4" s="4" t="s">
        <v>260</v>
      </c>
      <c r="B4" s="5" t="s">
        <v>261</v>
      </c>
      <c r="C4" s="5" t="s">
        <v>262</v>
      </c>
      <c r="D4" s="5" t="s">
        <v>263</v>
      </c>
      <c r="E4" s="5" t="s">
        <v>264</v>
      </c>
      <c r="F4" s="4" t="s">
        <v>265</v>
      </c>
      <c r="G4" s="4" t="s">
        <v>266</v>
      </c>
      <c r="H4" s="4" t="s">
        <v>267</v>
      </c>
    </row>
    <row r="5" customFormat="false" ht="23.85" hidden="false" customHeight="false" outlineLevel="0" collapsed="false">
      <c r="A5" s="6" t="s">
        <v>268</v>
      </c>
      <c r="B5" s="7" t="s">
        <v>269</v>
      </c>
      <c r="C5" s="7" t="s">
        <v>270</v>
      </c>
      <c r="D5" s="7" t="s">
        <v>180</v>
      </c>
      <c r="E5" s="7" t="s">
        <v>271</v>
      </c>
      <c r="F5" s="6" t="s">
        <v>272</v>
      </c>
      <c r="G5" s="6" t="s">
        <v>180</v>
      </c>
      <c r="H5" s="6" t="s">
        <v>273</v>
      </c>
    </row>
    <row r="6" customFormat="false" ht="23.85" hidden="false" customHeight="false" outlineLevel="0" collapsed="false">
      <c r="A6" s="4" t="s">
        <v>274</v>
      </c>
      <c r="B6" s="5" t="s">
        <v>275</v>
      </c>
      <c r="C6" s="5" t="s">
        <v>276</v>
      </c>
      <c r="D6" s="5" t="s">
        <v>277</v>
      </c>
      <c r="E6" s="5" t="s">
        <v>278</v>
      </c>
      <c r="F6" s="4" t="s">
        <v>185</v>
      </c>
      <c r="G6" s="4" t="s">
        <v>279</v>
      </c>
      <c r="H6" s="4" t="s">
        <v>280</v>
      </c>
    </row>
    <row r="7" customFormat="false" ht="15" hidden="false" customHeight="false" outlineLevel="0" collapsed="false">
      <c r="A7" s="6" t="s">
        <v>281</v>
      </c>
      <c r="B7" s="7" t="s">
        <v>282</v>
      </c>
      <c r="C7" s="7" t="s">
        <v>276</v>
      </c>
      <c r="D7" s="7" t="s">
        <v>283</v>
      </c>
      <c r="E7" s="7" t="s">
        <v>284</v>
      </c>
      <c r="F7" s="6" t="s">
        <v>285</v>
      </c>
      <c r="G7" s="6" t="s">
        <v>286</v>
      </c>
      <c r="H7" s="6"/>
    </row>
    <row r="8" customFormat="false" ht="23.85" hidden="false" customHeight="false" outlineLevel="0" collapsed="false">
      <c r="A8" s="4" t="s">
        <v>287</v>
      </c>
      <c r="B8" s="5" t="s">
        <v>288</v>
      </c>
      <c r="C8" s="5" t="s">
        <v>276</v>
      </c>
      <c r="D8" s="5" t="s">
        <v>289</v>
      </c>
      <c r="E8" s="5" t="s">
        <v>290</v>
      </c>
      <c r="F8" s="4" t="s">
        <v>191</v>
      </c>
      <c r="G8" s="4" t="s">
        <v>291</v>
      </c>
      <c r="H8" s="4" t="s">
        <v>292</v>
      </c>
    </row>
    <row r="9" customFormat="false" ht="23.85" hidden="false" customHeight="false" outlineLevel="0" collapsed="false">
      <c r="A9" s="6" t="s">
        <v>293</v>
      </c>
      <c r="B9" s="7" t="s">
        <v>294</v>
      </c>
      <c r="C9" s="7" t="s">
        <v>276</v>
      </c>
      <c r="D9" s="7" t="s">
        <v>295</v>
      </c>
      <c r="E9" s="7" t="s">
        <v>296</v>
      </c>
      <c r="F9" s="6" t="s">
        <v>195</v>
      </c>
      <c r="G9" s="6" t="s">
        <v>297</v>
      </c>
      <c r="H9" s="6"/>
    </row>
    <row r="10" customFormat="false" ht="15" hidden="false" customHeight="false" outlineLevel="0" collapsed="false">
      <c r="A10" s="4" t="s">
        <v>298</v>
      </c>
      <c r="B10" s="5" t="s">
        <v>299</v>
      </c>
      <c r="C10" s="5" t="s">
        <v>276</v>
      </c>
      <c r="D10" s="5" t="s">
        <v>300</v>
      </c>
      <c r="E10" s="5" t="s">
        <v>301</v>
      </c>
      <c r="F10" s="4" t="s">
        <v>199</v>
      </c>
      <c r="G10" s="4" t="s">
        <v>302</v>
      </c>
      <c r="H10" s="4"/>
    </row>
    <row r="11" customFormat="false" ht="23.85" hidden="false" customHeight="false" outlineLevel="0" collapsed="false">
      <c r="A11" s="6" t="s">
        <v>303</v>
      </c>
      <c r="B11" s="7" t="s">
        <v>304</v>
      </c>
      <c r="C11" s="7" t="s">
        <v>276</v>
      </c>
      <c r="D11" s="7" t="s">
        <v>305</v>
      </c>
      <c r="E11" s="7" t="s">
        <v>306</v>
      </c>
      <c r="F11" s="6" t="s">
        <v>204</v>
      </c>
      <c r="G11" s="6" t="s">
        <v>307</v>
      </c>
      <c r="H11" s="6" t="s">
        <v>308</v>
      </c>
    </row>
    <row r="12" customFormat="false" ht="35.05" hidden="false" customHeight="false" outlineLevel="0" collapsed="false">
      <c r="A12" s="4" t="s">
        <v>309</v>
      </c>
      <c r="B12" s="5" t="s">
        <v>310</v>
      </c>
      <c r="C12" s="5" t="s">
        <v>311</v>
      </c>
      <c r="D12" s="5" t="s">
        <v>312</v>
      </c>
      <c r="E12" s="5" t="s">
        <v>313</v>
      </c>
      <c r="F12" s="4" t="s">
        <v>208</v>
      </c>
      <c r="G12" s="4" t="s">
        <v>314</v>
      </c>
      <c r="H12" s="4" t="s">
        <v>315</v>
      </c>
    </row>
    <row r="13" customFormat="false" ht="35.05" hidden="false" customHeight="false" outlineLevel="0" collapsed="false">
      <c r="A13" s="6" t="s">
        <v>316</v>
      </c>
      <c r="B13" s="7" t="s">
        <v>317</v>
      </c>
      <c r="C13" s="7" t="s">
        <v>276</v>
      </c>
      <c r="D13" s="7" t="s">
        <v>318</v>
      </c>
      <c r="E13" s="7" t="s">
        <v>319</v>
      </c>
      <c r="F13" s="6" t="s">
        <v>320</v>
      </c>
      <c r="G13" s="6" t="s">
        <v>321</v>
      </c>
      <c r="H13" s="6" t="s">
        <v>322</v>
      </c>
    </row>
    <row r="14" customFormat="false" ht="23.85" hidden="false" customHeight="false" outlineLevel="0" collapsed="false">
      <c r="A14" s="4" t="s">
        <v>323</v>
      </c>
      <c r="B14" s="5" t="s">
        <v>324</v>
      </c>
      <c r="C14" s="5" t="s">
        <v>276</v>
      </c>
      <c r="D14" s="5" t="s">
        <v>325</v>
      </c>
      <c r="E14" s="5" t="s">
        <v>326</v>
      </c>
      <c r="F14" s="4" t="s">
        <v>234</v>
      </c>
      <c r="G14" s="4" t="s">
        <v>327</v>
      </c>
      <c r="H14" s="4"/>
    </row>
    <row r="15" customFormat="false" ht="23.85" hidden="false" customHeight="false" outlineLevel="0" collapsed="false">
      <c r="A15" s="6" t="s">
        <v>328</v>
      </c>
      <c r="B15" s="7" t="s">
        <v>329</v>
      </c>
      <c r="C15" s="7" t="s">
        <v>276</v>
      </c>
      <c r="D15" s="7" t="s">
        <v>330</v>
      </c>
      <c r="E15" s="7" t="s">
        <v>331</v>
      </c>
      <c r="F15" s="6" t="s">
        <v>234</v>
      </c>
      <c r="G15" s="6" t="s">
        <v>332</v>
      </c>
      <c r="H15" s="6"/>
    </row>
    <row r="16" customFormat="false" ht="23.85" hidden="false" customHeight="false" outlineLevel="0" collapsed="false">
      <c r="A16" s="4" t="s">
        <v>333</v>
      </c>
      <c r="B16" s="5" t="s">
        <v>334</v>
      </c>
      <c r="C16" s="5" t="s">
        <v>335</v>
      </c>
      <c r="D16" s="5" t="s">
        <v>336</v>
      </c>
      <c r="E16" s="5" t="s">
        <v>337</v>
      </c>
      <c r="F16" s="4" t="s">
        <v>338</v>
      </c>
      <c r="G16" s="4" t="s">
        <v>180</v>
      </c>
      <c r="H16" s="4" t="s">
        <v>339</v>
      </c>
    </row>
    <row r="17" customFormat="false" ht="35.05" hidden="false" customHeight="false" outlineLevel="0" collapsed="false">
      <c r="A17" s="6" t="s">
        <v>340</v>
      </c>
      <c r="B17" s="7" t="s">
        <v>341</v>
      </c>
      <c r="C17" s="7" t="s">
        <v>335</v>
      </c>
      <c r="D17" s="7" t="s">
        <v>342</v>
      </c>
      <c r="E17" s="7" t="s">
        <v>343</v>
      </c>
      <c r="F17" s="6" t="s">
        <v>344</v>
      </c>
      <c r="G17" s="6" t="s">
        <v>180</v>
      </c>
      <c r="H17" s="6" t="s">
        <v>345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8" min="8" style="0" width="10"/>
  </cols>
  <sheetData>
    <row r="2" customFormat="false" ht="24" hidden="false" customHeight="true" outlineLevel="0" collapsed="false">
      <c r="A2" s="2" t="s">
        <v>346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6</v>
      </c>
      <c r="B3" s="3" t="s">
        <v>10</v>
      </c>
      <c r="C3" s="3" t="s">
        <v>347</v>
      </c>
      <c r="D3" s="3" t="s">
        <v>348</v>
      </c>
      <c r="E3" s="3" t="s">
        <v>349</v>
      </c>
      <c r="F3" s="3" t="s">
        <v>350</v>
      </c>
      <c r="G3" s="3" t="s">
        <v>351</v>
      </c>
      <c r="H3" s="3" t="s">
        <v>9</v>
      </c>
    </row>
    <row r="4" customFormat="false" ht="23.85" hidden="false" customHeight="false" outlineLevel="0" collapsed="false">
      <c r="A4" s="4" t="s">
        <v>16</v>
      </c>
      <c r="B4" s="5" t="s">
        <v>352</v>
      </c>
      <c r="C4" s="5" t="s">
        <v>353</v>
      </c>
      <c r="D4" s="5" t="s">
        <v>354</v>
      </c>
      <c r="E4" s="5" t="s">
        <v>12</v>
      </c>
      <c r="F4" s="4" t="s">
        <v>17</v>
      </c>
      <c r="G4" s="5"/>
      <c r="H4" s="4" t="s">
        <v>18</v>
      </c>
    </row>
    <row r="5" customFormat="false" ht="23.85" hidden="false" customHeight="false" outlineLevel="0" collapsed="false">
      <c r="A5" s="6" t="s">
        <v>25</v>
      </c>
      <c r="B5" s="7" t="s">
        <v>355</v>
      </c>
      <c r="C5" s="7" t="s">
        <v>356</v>
      </c>
      <c r="D5" s="7" t="s">
        <v>185</v>
      </c>
      <c r="E5" s="7" t="s">
        <v>21</v>
      </c>
      <c r="F5" s="6" t="s">
        <v>26</v>
      </c>
      <c r="G5" s="7"/>
      <c r="H5" s="6" t="s">
        <v>18</v>
      </c>
    </row>
    <row r="6" customFormat="false" ht="23.85" hidden="false" customHeight="false" outlineLevel="0" collapsed="false">
      <c r="A6" s="4" t="s">
        <v>31</v>
      </c>
      <c r="B6" s="5" t="s">
        <v>357</v>
      </c>
      <c r="C6" s="5" t="s">
        <v>274</v>
      </c>
      <c r="D6" s="5" t="s">
        <v>185</v>
      </c>
      <c r="E6" s="5" t="s">
        <v>29</v>
      </c>
      <c r="F6" s="4" t="s">
        <v>32</v>
      </c>
      <c r="G6" s="5"/>
      <c r="H6" s="4" t="s">
        <v>18</v>
      </c>
    </row>
    <row r="7" customFormat="false" ht="23.85" hidden="false" customHeight="false" outlineLevel="0" collapsed="false">
      <c r="A7" s="6" t="s">
        <v>37</v>
      </c>
      <c r="B7" s="7" t="s">
        <v>358</v>
      </c>
      <c r="C7" s="7" t="s">
        <v>359</v>
      </c>
      <c r="D7" s="7" t="s">
        <v>285</v>
      </c>
      <c r="E7" s="7" t="s">
        <v>35</v>
      </c>
      <c r="F7" s="6" t="s">
        <v>38</v>
      </c>
      <c r="G7" s="7"/>
      <c r="H7" s="6" t="s">
        <v>18</v>
      </c>
    </row>
    <row r="8" customFormat="false" ht="15" hidden="false" customHeight="false" outlineLevel="0" collapsed="false">
      <c r="A8" s="4" t="s">
        <v>42</v>
      </c>
      <c r="B8" s="5" t="s">
        <v>360</v>
      </c>
      <c r="C8" s="5" t="s">
        <v>274</v>
      </c>
      <c r="D8" s="5" t="s">
        <v>185</v>
      </c>
      <c r="E8" s="5" t="s">
        <v>40</v>
      </c>
      <c r="F8" s="4" t="s">
        <v>43</v>
      </c>
      <c r="G8" s="5"/>
      <c r="H8" s="4" t="s">
        <v>18</v>
      </c>
    </row>
    <row r="9" customFormat="false" ht="23.85" hidden="false" customHeight="false" outlineLevel="0" collapsed="false">
      <c r="A9" s="6" t="s">
        <v>47</v>
      </c>
      <c r="B9" s="7" t="s">
        <v>361</v>
      </c>
      <c r="C9" s="7" t="s">
        <v>362</v>
      </c>
      <c r="D9" s="7" t="s">
        <v>222</v>
      </c>
      <c r="E9" s="7" t="s">
        <v>45</v>
      </c>
      <c r="F9" s="6" t="s">
        <v>363</v>
      </c>
      <c r="G9" s="7"/>
      <c r="H9" s="6" t="s">
        <v>18</v>
      </c>
    </row>
    <row r="10" customFormat="false" ht="15" hidden="false" customHeight="false" outlineLevel="0" collapsed="false">
      <c r="A10" s="4" t="s">
        <v>54</v>
      </c>
      <c r="B10" s="5" t="s">
        <v>56</v>
      </c>
      <c r="C10" s="5" t="s">
        <v>364</v>
      </c>
      <c r="D10" s="5" t="s">
        <v>199</v>
      </c>
      <c r="E10" s="5" t="s">
        <v>51</v>
      </c>
      <c r="F10" s="4" t="s">
        <v>55</v>
      </c>
      <c r="G10" s="5"/>
      <c r="H10" s="4" t="s">
        <v>18</v>
      </c>
    </row>
    <row r="11" customFormat="false" ht="15" hidden="false" customHeight="false" outlineLevel="0" collapsed="false">
      <c r="A11" s="6" t="s">
        <v>60</v>
      </c>
      <c r="B11" s="7" t="s">
        <v>365</v>
      </c>
      <c r="C11" s="7" t="s">
        <v>366</v>
      </c>
      <c r="D11" s="7" t="s">
        <v>204</v>
      </c>
      <c r="E11" s="7" t="s">
        <v>58</v>
      </c>
      <c r="F11" s="6" t="s">
        <v>61</v>
      </c>
      <c r="G11" s="7"/>
      <c r="H11" s="6" t="s">
        <v>18</v>
      </c>
    </row>
    <row r="12" customFormat="false" ht="15" hidden="false" customHeight="false" outlineLevel="0" collapsed="false">
      <c r="A12" s="4" t="s">
        <v>66</v>
      </c>
      <c r="B12" s="5" t="s">
        <v>367</v>
      </c>
      <c r="C12" s="5" t="s">
        <v>368</v>
      </c>
      <c r="D12" s="5" t="s">
        <v>285</v>
      </c>
      <c r="E12" s="5" t="s">
        <v>64</v>
      </c>
      <c r="F12" s="4" t="s">
        <v>369</v>
      </c>
      <c r="G12" s="5"/>
      <c r="H12" s="4" t="s">
        <v>18</v>
      </c>
    </row>
    <row r="13" customFormat="false" ht="23.85" hidden="false" customHeight="false" outlineLevel="0" collapsed="false">
      <c r="A13" s="6" t="s">
        <v>70</v>
      </c>
      <c r="B13" s="7" t="s">
        <v>370</v>
      </c>
      <c r="C13" s="7" t="s">
        <v>371</v>
      </c>
      <c r="D13" s="7" t="s">
        <v>191</v>
      </c>
      <c r="E13" s="7" t="s">
        <v>68</v>
      </c>
      <c r="F13" s="6" t="s">
        <v>71</v>
      </c>
      <c r="G13" s="7"/>
      <c r="H13" s="6" t="s">
        <v>18</v>
      </c>
    </row>
    <row r="14" customFormat="false" ht="15" hidden="false" customHeight="false" outlineLevel="0" collapsed="false">
      <c r="A14" s="4" t="s">
        <v>76</v>
      </c>
      <c r="B14" s="5" t="s">
        <v>372</v>
      </c>
      <c r="C14" s="5" t="s">
        <v>281</v>
      </c>
      <c r="D14" s="5" t="s">
        <v>185</v>
      </c>
      <c r="E14" s="5" t="s">
        <v>74</v>
      </c>
      <c r="F14" s="4" t="s">
        <v>77</v>
      </c>
      <c r="G14" s="5"/>
      <c r="H14" s="4" t="s">
        <v>18</v>
      </c>
    </row>
    <row r="15" customFormat="false" ht="15" hidden="false" customHeight="false" outlineLevel="0" collapsed="false">
      <c r="A15" s="6" t="s">
        <v>81</v>
      </c>
      <c r="B15" s="7" t="s">
        <v>373</v>
      </c>
      <c r="C15" s="7" t="s">
        <v>374</v>
      </c>
      <c r="D15" s="7" t="s">
        <v>234</v>
      </c>
      <c r="E15" s="7" t="s">
        <v>79</v>
      </c>
      <c r="F15" s="6" t="s">
        <v>375</v>
      </c>
      <c r="G15" s="7"/>
      <c r="H15" s="6" t="s">
        <v>18</v>
      </c>
    </row>
    <row r="16" customFormat="false" ht="15" hidden="false" customHeight="false" outlineLevel="0" collapsed="false">
      <c r="A16" s="4" t="s">
        <v>86</v>
      </c>
      <c r="B16" s="5" t="s">
        <v>88</v>
      </c>
      <c r="C16" s="5" t="s">
        <v>364</v>
      </c>
      <c r="D16" s="5" t="s">
        <v>199</v>
      </c>
      <c r="E16" s="5" t="s">
        <v>84</v>
      </c>
      <c r="F16" s="4" t="s">
        <v>87</v>
      </c>
      <c r="G16" s="5"/>
      <c r="H16" s="4" t="s">
        <v>18</v>
      </c>
    </row>
    <row r="17" customFormat="false" ht="15" hidden="false" customHeight="false" outlineLevel="0" collapsed="false">
      <c r="A17" s="6" t="s">
        <v>91</v>
      </c>
      <c r="B17" s="7" t="s">
        <v>93</v>
      </c>
      <c r="C17" s="7" t="s">
        <v>376</v>
      </c>
      <c r="D17" s="7" t="s">
        <v>204</v>
      </c>
      <c r="E17" s="7" t="s">
        <v>89</v>
      </c>
      <c r="F17" s="6" t="s">
        <v>92</v>
      </c>
      <c r="G17" s="7"/>
      <c r="H17" s="6" t="s">
        <v>18</v>
      </c>
    </row>
    <row r="18" customFormat="false" ht="23.85" hidden="false" customHeight="false" outlineLevel="0" collapsed="false">
      <c r="A18" s="4" t="s">
        <v>96</v>
      </c>
      <c r="B18" s="5" t="s">
        <v>98</v>
      </c>
      <c r="C18" s="5" t="s">
        <v>377</v>
      </c>
      <c r="D18" s="5" t="s">
        <v>185</v>
      </c>
      <c r="E18" s="5" t="s">
        <v>94</v>
      </c>
      <c r="F18" s="4" t="s">
        <v>97</v>
      </c>
      <c r="G18" s="5"/>
      <c r="H18" s="4" t="s">
        <v>18</v>
      </c>
    </row>
    <row r="19" customFormat="false" ht="15" hidden="false" customHeight="false" outlineLevel="0" collapsed="false">
      <c r="A19" s="6" t="s">
        <v>101</v>
      </c>
      <c r="B19" s="7" t="s">
        <v>103</v>
      </c>
      <c r="C19" s="7" t="s">
        <v>378</v>
      </c>
      <c r="D19" s="7" t="s">
        <v>195</v>
      </c>
      <c r="E19" s="7" t="s">
        <v>99</v>
      </c>
      <c r="F19" s="6" t="s">
        <v>379</v>
      </c>
      <c r="G19" s="7"/>
      <c r="H19" s="6" t="s">
        <v>18</v>
      </c>
    </row>
    <row r="20" customFormat="false" ht="23.85" hidden="false" customHeight="false" outlineLevel="0" collapsed="false">
      <c r="A20" s="4" t="s">
        <v>108</v>
      </c>
      <c r="B20" s="5" t="s">
        <v>110</v>
      </c>
      <c r="C20" s="5" t="s">
        <v>380</v>
      </c>
      <c r="D20" s="5" t="s">
        <v>381</v>
      </c>
      <c r="E20" s="5" t="s">
        <v>105</v>
      </c>
      <c r="F20" s="4" t="s">
        <v>382</v>
      </c>
      <c r="G20" s="5"/>
      <c r="H20" s="4" t="s">
        <v>18</v>
      </c>
    </row>
    <row r="21" customFormat="false" ht="23.85" hidden="false" customHeight="false" outlineLevel="0" collapsed="false">
      <c r="A21" s="6" t="s">
        <v>113</v>
      </c>
      <c r="B21" s="7" t="s">
        <v>383</v>
      </c>
      <c r="C21" s="7" t="s">
        <v>378</v>
      </c>
      <c r="D21" s="7" t="s">
        <v>195</v>
      </c>
      <c r="E21" s="7" t="s">
        <v>111</v>
      </c>
      <c r="F21" s="6" t="s">
        <v>384</v>
      </c>
      <c r="G21" s="7"/>
      <c r="H21" s="6" t="s">
        <v>18</v>
      </c>
    </row>
    <row r="22" customFormat="false" ht="23.85" hidden="false" customHeight="false" outlineLevel="0" collapsed="false">
      <c r="A22" s="4" t="s">
        <v>120</v>
      </c>
      <c r="B22" s="5" t="s">
        <v>385</v>
      </c>
      <c r="C22" s="5" t="s">
        <v>386</v>
      </c>
      <c r="D22" s="5" t="s">
        <v>387</v>
      </c>
      <c r="E22" s="5" t="s">
        <v>117</v>
      </c>
      <c r="F22" s="4" t="s">
        <v>388</v>
      </c>
      <c r="G22" s="5"/>
      <c r="H22" s="4" t="s">
        <v>18</v>
      </c>
    </row>
    <row r="23" customFormat="false" ht="23.85" hidden="false" customHeight="false" outlineLevel="0" collapsed="false">
      <c r="A23" s="6" t="s">
        <v>126</v>
      </c>
      <c r="B23" s="7" t="s">
        <v>389</v>
      </c>
      <c r="C23" s="7" t="s">
        <v>390</v>
      </c>
      <c r="D23" s="7" t="s">
        <v>222</v>
      </c>
      <c r="E23" s="7" t="s">
        <v>123</v>
      </c>
      <c r="F23" s="6" t="s">
        <v>391</v>
      </c>
      <c r="G23" s="7"/>
      <c r="H23" s="6" t="s">
        <v>18</v>
      </c>
    </row>
    <row r="24" customFormat="false" ht="23.85" hidden="false" customHeight="false" outlineLevel="0" collapsed="false">
      <c r="A24" s="4" t="s">
        <v>132</v>
      </c>
      <c r="B24" s="5" t="s">
        <v>392</v>
      </c>
      <c r="C24" s="5" t="s">
        <v>393</v>
      </c>
      <c r="D24" s="5" t="s">
        <v>216</v>
      </c>
      <c r="E24" s="5" t="s">
        <v>130</v>
      </c>
      <c r="F24" s="4" t="s">
        <v>133</v>
      </c>
      <c r="G24" s="5"/>
      <c r="H24" s="4" t="s">
        <v>18</v>
      </c>
    </row>
    <row r="25" customFormat="false" ht="23.85" hidden="false" customHeight="false" outlineLevel="0" collapsed="false">
      <c r="A25" s="6" t="s">
        <v>137</v>
      </c>
      <c r="B25" s="7" t="s">
        <v>394</v>
      </c>
      <c r="C25" s="7" t="s">
        <v>395</v>
      </c>
      <c r="D25" s="7" t="s">
        <v>387</v>
      </c>
      <c r="E25" s="7" t="s">
        <v>135</v>
      </c>
      <c r="F25" s="6" t="s">
        <v>138</v>
      </c>
      <c r="G25" s="7"/>
      <c r="H25" s="6" t="s">
        <v>18</v>
      </c>
    </row>
    <row r="26" customFormat="false" ht="23.85" hidden="false" customHeight="false" outlineLevel="0" collapsed="false">
      <c r="A26" s="4" t="s">
        <v>142</v>
      </c>
      <c r="B26" s="5" t="s">
        <v>396</v>
      </c>
      <c r="C26" s="5" t="s">
        <v>397</v>
      </c>
      <c r="D26" s="5" t="s">
        <v>398</v>
      </c>
      <c r="E26" s="5" t="s">
        <v>140</v>
      </c>
      <c r="F26" s="4" t="s">
        <v>143</v>
      </c>
      <c r="G26" s="5"/>
      <c r="H26" s="4" t="s">
        <v>18</v>
      </c>
    </row>
    <row r="27" customFormat="false" ht="15" hidden="false" customHeight="false" outlineLevel="0" collapsed="false">
      <c r="A27" s="6" t="s">
        <v>148</v>
      </c>
      <c r="B27" s="7" t="s">
        <v>399</v>
      </c>
      <c r="C27" s="7" t="s">
        <v>400</v>
      </c>
      <c r="D27" s="7" t="s">
        <v>234</v>
      </c>
      <c r="E27" s="7" t="s">
        <v>146</v>
      </c>
      <c r="F27" s="6" t="s">
        <v>149</v>
      </c>
      <c r="G27" s="7"/>
      <c r="H27" s="6" t="s">
        <v>18</v>
      </c>
    </row>
    <row r="28" customFormat="false" ht="15" hidden="false" customHeight="false" outlineLevel="0" collapsed="false">
      <c r="A28" s="4" t="s">
        <v>154</v>
      </c>
      <c r="B28" s="5" t="s">
        <v>401</v>
      </c>
      <c r="C28" s="5" t="s">
        <v>374</v>
      </c>
      <c r="D28" s="5" t="s">
        <v>234</v>
      </c>
      <c r="E28" s="5" t="s">
        <v>152</v>
      </c>
      <c r="F28" s="4" t="s">
        <v>155</v>
      </c>
      <c r="G28" s="5"/>
      <c r="H28" s="4" t="s">
        <v>18</v>
      </c>
    </row>
    <row r="29" customFormat="false" ht="23.85" hidden="false" customHeight="false" outlineLevel="0" collapsed="false">
      <c r="A29" s="6" t="s">
        <v>159</v>
      </c>
      <c r="B29" s="7" t="s">
        <v>402</v>
      </c>
      <c r="C29" s="7" t="s">
        <v>362</v>
      </c>
      <c r="D29" s="7" t="s">
        <v>222</v>
      </c>
      <c r="E29" s="7" t="s">
        <v>157</v>
      </c>
      <c r="F29" s="6" t="s">
        <v>160</v>
      </c>
      <c r="G29" s="7"/>
      <c r="H29" s="6" t="s">
        <v>18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58"/>
    <col collapsed="false" customWidth="true" hidden="false" outlineLevel="0" max="5" min="5" style="1" width="52"/>
    <col collapsed="false" customWidth="true" hidden="false" outlineLevel="0" max="6" min="6" style="1" width="18"/>
    <col collapsed="false" customWidth="true" hidden="false" outlineLevel="0" max="7" min="7" style="1" width="10"/>
  </cols>
  <sheetData>
    <row r="2" customFormat="false" ht="24" hidden="false" customHeight="true" outlineLevel="0" collapsed="false">
      <c r="A2" s="2" t="s">
        <v>403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404</v>
      </c>
      <c r="B3" s="3" t="s">
        <v>405</v>
      </c>
      <c r="C3" s="3" t="s">
        <v>406</v>
      </c>
      <c r="D3" s="3" t="s">
        <v>407</v>
      </c>
      <c r="E3" s="3" t="s">
        <v>408</v>
      </c>
      <c r="F3" s="3" t="s">
        <v>409</v>
      </c>
      <c r="G3" s="3" t="s">
        <v>9</v>
      </c>
    </row>
    <row r="4" customFormat="false" ht="15" hidden="false" customHeight="true" outlineLevel="0" collapsed="false">
      <c r="A4" s="4" t="s">
        <v>410</v>
      </c>
      <c r="B4" s="5" t="s">
        <v>411</v>
      </c>
      <c r="C4" s="5" t="s">
        <v>412</v>
      </c>
      <c r="D4" s="5" t="s">
        <v>413</v>
      </c>
      <c r="E4" s="5" t="s">
        <v>414</v>
      </c>
      <c r="F4" s="5" t="s">
        <v>415</v>
      </c>
      <c r="G4" s="4" t="s">
        <v>18</v>
      </c>
    </row>
    <row r="5" customFormat="false" ht="15" hidden="false" customHeight="true" outlineLevel="0" collapsed="false">
      <c r="A5" s="6" t="s">
        <v>416</v>
      </c>
      <c r="B5" s="7" t="s">
        <v>411</v>
      </c>
      <c r="C5" s="7" t="s">
        <v>417</v>
      </c>
      <c r="D5" s="7" t="s">
        <v>418</v>
      </c>
      <c r="E5" s="7" t="s">
        <v>419</v>
      </c>
      <c r="F5" s="7" t="s">
        <v>420</v>
      </c>
      <c r="G5" s="6" t="s">
        <v>18</v>
      </c>
    </row>
    <row r="6" customFormat="false" ht="15" hidden="false" customHeight="true" outlineLevel="0" collapsed="false">
      <c r="A6" s="4" t="s">
        <v>421</v>
      </c>
      <c r="B6" s="5" t="s">
        <v>411</v>
      </c>
      <c r="C6" s="5" t="s">
        <v>417</v>
      </c>
      <c r="D6" s="5" t="s">
        <v>422</v>
      </c>
      <c r="E6" s="5" t="s">
        <v>423</v>
      </c>
      <c r="F6" s="5" t="s">
        <v>424</v>
      </c>
      <c r="G6" s="4" t="s">
        <v>18</v>
      </c>
    </row>
    <row r="7" customFormat="false" ht="15" hidden="false" customHeight="true" outlineLevel="0" collapsed="false">
      <c r="A7" s="6" t="s">
        <v>425</v>
      </c>
      <c r="B7" s="7" t="s">
        <v>411</v>
      </c>
      <c r="C7" s="7" t="s">
        <v>417</v>
      </c>
      <c r="D7" s="7" t="s">
        <v>426</v>
      </c>
      <c r="E7" s="7" t="s">
        <v>427</v>
      </c>
      <c r="F7" s="7" t="s">
        <v>428</v>
      </c>
      <c r="G7" s="6" t="s">
        <v>18</v>
      </c>
    </row>
    <row r="8" customFormat="false" ht="23.25" hidden="false" customHeight="true" outlineLevel="0" collapsed="false">
      <c r="A8" s="4" t="s">
        <v>429</v>
      </c>
      <c r="B8" s="5" t="s">
        <v>411</v>
      </c>
      <c r="C8" s="5" t="s">
        <v>417</v>
      </c>
      <c r="D8" s="5" t="s">
        <v>430</v>
      </c>
      <c r="E8" s="5" t="s">
        <v>431</v>
      </c>
      <c r="F8" s="5" t="s">
        <v>428</v>
      </c>
      <c r="G8" s="4" t="s">
        <v>18</v>
      </c>
    </row>
    <row r="9" customFormat="false" ht="15" hidden="false" customHeight="true" outlineLevel="0" collapsed="false">
      <c r="A9" s="6" t="s">
        <v>432</v>
      </c>
      <c r="B9" s="7" t="s">
        <v>411</v>
      </c>
      <c r="C9" s="7" t="s">
        <v>433</v>
      </c>
      <c r="D9" s="7" t="s">
        <v>434</v>
      </c>
      <c r="E9" s="7" t="s">
        <v>435</v>
      </c>
      <c r="F9" s="7" t="s">
        <v>436</v>
      </c>
      <c r="G9" s="6" t="s">
        <v>18</v>
      </c>
    </row>
    <row r="10" customFormat="false" ht="23.25" hidden="false" customHeight="true" outlineLevel="0" collapsed="false">
      <c r="A10" s="4" t="s">
        <v>437</v>
      </c>
      <c r="B10" s="5" t="s">
        <v>411</v>
      </c>
      <c r="C10" s="5" t="s">
        <v>438</v>
      </c>
      <c r="D10" s="5" t="s">
        <v>439</v>
      </c>
      <c r="E10" s="5" t="s">
        <v>440</v>
      </c>
      <c r="F10" s="5" t="s">
        <v>441</v>
      </c>
      <c r="G10" s="4" t="s">
        <v>18</v>
      </c>
    </row>
    <row r="11" customFormat="false" ht="15" hidden="false" customHeight="true" outlineLevel="0" collapsed="false">
      <c r="A11" s="6" t="s">
        <v>442</v>
      </c>
      <c r="B11" s="7" t="s">
        <v>411</v>
      </c>
      <c r="C11" s="7" t="s">
        <v>443</v>
      </c>
      <c r="D11" s="7" t="s">
        <v>444</v>
      </c>
      <c r="E11" s="7" t="s">
        <v>445</v>
      </c>
      <c r="F11" s="7" t="s">
        <v>180</v>
      </c>
      <c r="G11" s="6" t="s">
        <v>18</v>
      </c>
    </row>
    <row r="12" customFormat="false" ht="15" hidden="false" customHeight="true" outlineLevel="0" collapsed="false">
      <c r="A12" s="4" t="s">
        <v>446</v>
      </c>
      <c r="B12" s="5" t="s">
        <v>411</v>
      </c>
      <c r="C12" s="5" t="s">
        <v>443</v>
      </c>
      <c r="D12" s="5" t="s">
        <v>447</v>
      </c>
      <c r="E12" s="5" t="s">
        <v>448</v>
      </c>
      <c r="F12" s="5" t="s">
        <v>180</v>
      </c>
      <c r="G12" s="4" t="s">
        <v>18</v>
      </c>
    </row>
    <row r="13" customFormat="false" ht="23.25" hidden="false" customHeight="true" outlineLevel="0" collapsed="false">
      <c r="A13" s="6" t="s">
        <v>449</v>
      </c>
      <c r="B13" s="7" t="s">
        <v>411</v>
      </c>
      <c r="C13" s="7" t="s">
        <v>450</v>
      </c>
      <c r="D13" s="7" t="s">
        <v>451</v>
      </c>
      <c r="E13" s="7" t="s">
        <v>452</v>
      </c>
      <c r="F13" s="7" t="s">
        <v>453</v>
      </c>
      <c r="G13" s="6" t="s">
        <v>18</v>
      </c>
    </row>
    <row r="14" customFormat="false" ht="15" hidden="false" customHeight="true" outlineLevel="0" collapsed="false">
      <c r="A14" s="4" t="s">
        <v>454</v>
      </c>
      <c r="B14" s="5" t="s">
        <v>411</v>
      </c>
      <c r="C14" s="5" t="s">
        <v>455</v>
      </c>
      <c r="D14" s="5" t="s">
        <v>456</v>
      </c>
      <c r="E14" s="5" t="s">
        <v>457</v>
      </c>
      <c r="F14" s="5" t="s">
        <v>458</v>
      </c>
      <c r="G14" s="4" t="s">
        <v>18</v>
      </c>
    </row>
    <row r="15" customFormat="false" ht="15" hidden="false" customHeight="true" outlineLevel="0" collapsed="false">
      <c r="A15" s="6" t="s">
        <v>459</v>
      </c>
      <c r="B15" s="7" t="s">
        <v>411</v>
      </c>
      <c r="C15" s="7" t="s">
        <v>460</v>
      </c>
      <c r="D15" s="7" t="s">
        <v>456</v>
      </c>
      <c r="E15" s="7" t="s">
        <v>461</v>
      </c>
      <c r="F15" s="7" t="s">
        <v>458</v>
      </c>
      <c r="G15" s="6" t="s">
        <v>18</v>
      </c>
    </row>
    <row r="16" customFormat="false" ht="15" hidden="false" customHeight="true" outlineLevel="0" collapsed="false">
      <c r="A16" s="4" t="s">
        <v>462</v>
      </c>
      <c r="B16" s="5" t="s">
        <v>463</v>
      </c>
      <c r="C16" s="5" t="s">
        <v>464</v>
      </c>
      <c r="D16" s="5" t="s">
        <v>465</v>
      </c>
      <c r="E16" s="5" t="s">
        <v>466</v>
      </c>
      <c r="F16" s="5" t="s">
        <v>180</v>
      </c>
      <c r="G16" s="4" t="s">
        <v>18</v>
      </c>
    </row>
    <row r="17" customFormat="false" ht="15" hidden="false" customHeight="true" outlineLevel="0" collapsed="false">
      <c r="A17" s="6" t="s">
        <v>467</v>
      </c>
      <c r="B17" s="7" t="s">
        <v>261</v>
      </c>
      <c r="C17" s="7" t="s">
        <v>468</v>
      </c>
      <c r="D17" s="7" t="s">
        <v>469</v>
      </c>
      <c r="E17" s="7" t="s">
        <v>470</v>
      </c>
      <c r="F17" s="7" t="s">
        <v>180</v>
      </c>
      <c r="G17" s="6" t="s">
        <v>18</v>
      </c>
    </row>
    <row r="18" customFormat="false" ht="23.25" hidden="false" customHeight="true" outlineLevel="0" collapsed="false">
      <c r="A18" s="4" t="s">
        <v>471</v>
      </c>
      <c r="B18" s="5" t="s">
        <v>411</v>
      </c>
      <c r="C18" s="5" t="s">
        <v>472</v>
      </c>
      <c r="D18" s="5" t="s">
        <v>473</v>
      </c>
      <c r="E18" s="5" t="s">
        <v>474</v>
      </c>
      <c r="F18" s="5" t="s">
        <v>475</v>
      </c>
      <c r="G18" s="4" t="s">
        <v>18</v>
      </c>
    </row>
    <row r="19" customFormat="false" ht="15" hidden="false" customHeight="true" outlineLevel="0" collapsed="false">
      <c r="A19" s="6" t="s">
        <v>476</v>
      </c>
      <c r="B19" s="7" t="s">
        <v>477</v>
      </c>
      <c r="C19" s="7" t="s">
        <v>478</v>
      </c>
      <c r="D19" s="7" t="s">
        <v>479</v>
      </c>
      <c r="E19" s="7" t="s">
        <v>480</v>
      </c>
      <c r="F19" s="7" t="s">
        <v>481</v>
      </c>
      <c r="G19" s="6" t="s">
        <v>18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62"/>
    <col collapsed="false" customWidth="true" hidden="false" outlineLevel="0" max="5" min="5" style="1" width="12"/>
    <col collapsed="false" customWidth="true" hidden="false" outlineLevel="0" max="6" min="6" style="1" width="24"/>
    <col collapsed="false" customWidth="true" hidden="false" outlineLevel="0" max="7" min="7" style="1" width="8"/>
    <col collapsed="false" customWidth="true" hidden="false" outlineLevel="0" max="9" min="8" style="1" width="11"/>
    <col collapsed="false" customWidth="true" hidden="false" outlineLevel="0" max="10" min="10" style="1" width="10"/>
  </cols>
  <sheetData>
    <row r="2" customFormat="false" ht="24" hidden="false" customHeight="true" outlineLevel="0" collapsed="false">
      <c r="A2" s="2" t="s">
        <v>482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483</v>
      </c>
      <c r="B3" s="3" t="s">
        <v>484</v>
      </c>
      <c r="C3" s="3" t="s">
        <v>485</v>
      </c>
      <c r="D3" s="3" t="s">
        <v>486</v>
      </c>
      <c r="E3" s="3" t="s">
        <v>4</v>
      </c>
      <c r="F3" s="3" t="s">
        <v>487</v>
      </c>
      <c r="G3" s="3" t="s">
        <v>488</v>
      </c>
      <c r="H3" s="3" t="s">
        <v>489</v>
      </c>
      <c r="I3" s="3" t="s">
        <v>490</v>
      </c>
      <c r="J3" s="3" t="s">
        <v>9</v>
      </c>
    </row>
    <row r="4" customFormat="false" ht="15" hidden="false" customHeight="true" outlineLevel="0" collapsed="false">
      <c r="A4" s="4" t="s">
        <v>491</v>
      </c>
      <c r="B4" s="5" t="s">
        <v>492</v>
      </c>
      <c r="C4" s="5" t="s">
        <v>493</v>
      </c>
      <c r="D4" s="5" t="s">
        <v>494</v>
      </c>
      <c r="E4" s="4" t="s">
        <v>495</v>
      </c>
      <c r="F4" s="5" t="s">
        <v>496</v>
      </c>
      <c r="G4" s="4" t="s">
        <v>497</v>
      </c>
      <c r="H4" s="4" t="s">
        <v>189</v>
      </c>
      <c r="I4" s="4"/>
      <c r="J4" s="4" t="s">
        <v>18</v>
      </c>
    </row>
    <row r="5" customFormat="false" ht="15" hidden="false" customHeight="true" outlineLevel="0" collapsed="false">
      <c r="A5" s="6" t="s">
        <v>498</v>
      </c>
      <c r="B5" s="7" t="s">
        <v>492</v>
      </c>
      <c r="C5" s="7" t="s">
        <v>499</v>
      </c>
      <c r="D5" s="7" t="s">
        <v>500</v>
      </c>
      <c r="E5" s="6" t="s">
        <v>495</v>
      </c>
      <c r="F5" s="7" t="s">
        <v>501</v>
      </c>
      <c r="G5" s="6" t="s">
        <v>502</v>
      </c>
      <c r="H5" s="6" t="s">
        <v>189</v>
      </c>
      <c r="I5" s="6"/>
      <c r="J5" s="6" t="s">
        <v>18</v>
      </c>
    </row>
    <row r="6" customFormat="false" ht="15" hidden="false" customHeight="true" outlineLevel="0" collapsed="false">
      <c r="A6" s="4" t="s">
        <v>503</v>
      </c>
      <c r="B6" s="5" t="s">
        <v>492</v>
      </c>
      <c r="C6" s="5" t="s">
        <v>504</v>
      </c>
      <c r="D6" s="5" t="s">
        <v>505</v>
      </c>
      <c r="E6" s="4" t="s">
        <v>495</v>
      </c>
      <c r="F6" s="5" t="s">
        <v>506</v>
      </c>
      <c r="G6" s="4" t="s">
        <v>189</v>
      </c>
      <c r="H6" s="4" t="s">
        <v>189</v>
      </c>
      <c r="I6" s="4"/>
      <c r="J6" s="4" t="s">
        <v>18</v>
      </c>
    </row>
    <row r="7" customFormat="false" ht="15" hidden="false" customHeight="true" outlineLevel="0" collapsed="false">
      <c r="A7" s="6" t="s">
        <v>507</v>
      </c>
      <c r="B7" s="7" t="s">
        <v>492</v>
      </c>
      <c r="C7" s="7" t="s">
        <v>508</v>
      </c>
      <c r="D7" s="7" t="s">
        <v>509</v>
      </c>
      <c r="E7" s="6" t="s">
        <v>495</v>
      </c>
      <c r="F7" s="7" t="s">
        <v>510</v>
      </c>
      <c r="G7" s="6" t="s">
        <v>189</v>
      </c>
      <c r="H7" s="6" t="s">
        <v>189</v>
      </c>
      <c r="I7" s="6"/>
      <c r="J7" s="6" t="s">
        <v>18</v>
      </c>
    </row>
    <row r="8" customFormat="false" ht="23.25" hidden="false" customHeight="true" outlineLevel="0" collapsed="false">
      <c r="A8" s="4" t="s">
        <v>511</v>
      </c>
      <c r="B8" s="5" t="s">
        <v>492</v>
      </c>
      <c r="C8" s="5" t="s">
        <v>512</v>
      </c>
      <c r="D8" s="5" t="s">
        <v>513</v>
      </c>
      <c r="E8" s="4" t="s">
        <v>514</v>
      </c>
      <c r="F8" s="5" t="s">
        <v>515</v>
      </c>
      <c r="G8" s="4" t="s">
        <v>502</v>
      </c>
      <c r="H8" s="4" t="s">
        <v>189</v>
      </c>
      <c r="I8" s="4"/>
      <c r="J8" s="4" t="s">
        <v>18</v>
      </c>
    </row>
    <row r="9" customFormat="false" ht="15" hidden="false" customHeight="true" outlineLevel="0" collapsed="false">
      <c r="A9" s="6" t="s">
        <v>516</v>
      </c>
      <c r="B9" s="7" t="s">
        <v>517</v>
      </c>
      <c r="C9" s="7" t="s">
        <v>518</v>
      </c>
      <c r="D9" s="7" t="s">
        <v>494</v>
      </c>
      <c r="E9" s="6" t="s">
        <v>495</v>
      </c>
      <c r="F9" s="7" t="s">
        <v>496</v>
      </c>
      <c r="G9" s="6" t="s">
        <v>497</v>
      </c>
      <c r="H9" s="6" t="s">
        <v>189</v>
      </c>
      <c r="I9" s="6"/>
      <c r="J9" s="6" t="s">
        <v>18</v>
      </c>
    </row>
    <row r="10" customFormat="false" ht="15" hidden="false" customHeight="true" outlineLevel="0" collapsed="false">
      <c r="A10" s="4" t="s">
        <v>519</v>
      </c>
      <c r="B10" s="5" t="s">
        <v>517</v>
      </c>
      <c r="C10" s="5" t="s">
        <v>520</v>
      </c>
      <c r="D10" s="5" t="s">
        <v>500</v>
      </c>
      <c r="E10" s="4" t="s">
        <v>495</v>
      </c>
      <c r="F10" s="5" t="s">
        <v>501</v>
      </c>
      <c r="G10" s="4" t="s">
        <v>502</v>
      </c>
      <c r="H10" s="4" t="s">
        <v>189</v>
      </c>
      <c r="I10" s="4"/>
      <c r="J10" s="4" t="s">
        <v>18</v>
      </c>
    </row>
    <row r="11" customFormat="false" ht="15" hidden="false" customHeight="true" outlineLevel="0" collapsed="false">
      <c r="A11" s="6" t="s">
        <v>521</v>
      </c>
      <c r="B11" s="7" t="s">
        <v>517</v>
      </c>
      <c r="C11" s="7" t="s">
        <v>522</v>
      </c>
      <c r="D11" s="7" t="s">
        <v>509</v>
      </c>
      <c r="E11" s="6" t="s">
        <v>495</v>
      </c>
      <c r="F11" s="7" t="s">
        <v>510</v>
      </c>
      <c r="G11" s="6" t="s">
        <v>189</v>
      </c>
      <c r="H11" s="6" t="s">
        <v>189</v>
      </c>
      <c r="I11" s="6"/>
      <c r="J11" s="6" t="s">
        <v>18</v>
      </c>
    </row>
    <row r="12" customFormat="false" ht="15" hidden="false" customHeight="true" outlineLevel="0" collapsed="false">
      <c r="A12" s="4" t="s">
        <v>523</v>
      </c>
      <c r="B12" s="5" t="s">
        <v>517</v>
      </c>
      <c r="C12" s="5" t="s">
        <v>524</v>
      </c>
      <c r="D12" s="5" t="s">
        <v>525</v>
      </c>
      <c r="E12" s="4" t="s">
        <v>495</v>
      </c>
      <c r="F12" s="5" t="s">
        <v>526</v>
      </c>
      <c r="G12" s="4" t="s">
        <v>497</v>
      </c>
      <c r="H12" s="4" t="s">
        <v>189</v>
      </c>
      <c r="I12" s="4"/>
      <c r="J12" s="4" t="s">
        <v>18</v>
      </c>
    </row>
    <row r="13" customFormat="false" ht="23.25" hidden="false" customHeight="true" outlineLevel="0" collapsed="false">
      <c r="A13" s="6" t="s">
        <v>527</v>
      </c>
      <c r="B13" s="7" t="s">
        <v>517</v>
      </c>
      <c r="C13" s="7" t="s">
        <v>528</v>
      </c>
      <c r="D13" s="7" t="s">
        <v>529</v>
      </c>
      <c r="E13" s="6" t="s">
        <v>514</v>
      </c>
      <c r="F13" s="7" t="s">
        <v>515</v>
      </c>
      <c r="G13" s="6" t="s">
        <v>502</v>
      </c>
      <c r="H13" s="6" t="s">
        <v>189</v>
      </c>
      <c r="I13" s="6"/>
      <c r="J13" s="6" t="s">
        <v>18</v>
      </c>
    </row>
    <row r="14" customFormat="false" ht="15" hidden="false" customHeight="true" outlineLevel="0" collapsed="false">
      <c r="A14" s="4" t="s">
        <v>530</v>
      </c>
      <c r="B14" s="5" t="s">
        <v>531</v>
      </c>
      <c r="C14" s="5" t="s">
        <v>532</v>
      </c>
      <c r="D14" s="5" t="s">
        <v>533</v>
      </c>
      <c r="E14" s="4" t="s">
        <v>495</v>
      </c>
      <c r="F14" s="5" t="s">
        <v>534</v>
      </c>
      <c r="G14" s="4" t="s">
        <v>502</v>
      </c>
      <c r="H14" s="4" t="s">
        <v>189</v>
      </c>
      <c r="I14" s="4"/>
      <c r="J14" s="4" t="s">
        <v>18</v>
      </c>
    </row>
    <row r="15" customFormat="false" ht="15" hidden="false" customHeight="true" outlineLevel="0" collapsed="false">
      <c r="A15" s="6" t="s">
        <v>535</v>
      </c>
      <c r="B15" s="7" t="s">
        <v>531</v>
      </c>
      <c r="C15" s="7" t="s">
        <v>536</v>
      </c>
      <c r="D15" s="7" t="s">
        <v>537</v>
      </c>
      <c r="E15" s="6" t="s">
        <v>514</v>
      </c>
      <c r="F15" s="7" t="s">
        <v>538</v>
      </c>
      <c r="G15" s="6" t="s">
        <v>502</v>
      </c>
      <c r="H15" s="6" t="s">
        <v>189</v>
      </c>
      <c r="I15" s="6"/>
      <c r="J15" s="6" t="s">
        <v>18</v>
      </c>
    </row>
    <row r="16" customFormat="false" ht="15" hidden="false" customHeight="true" outlineLevel="0" collapsed="false">
      <c r="A16" s="4" t="s">
        <v>539</v>
      </c>
      <c r="B16" s="5" t="s">
        <v>540</v>
      </c>
      <c r="C16" s="5" t="s">
        <v>541</v>
      </c>
      <c r="D16" s="5" t="s">
        <v>542</v>
      </c>
      <c r="E16" s="4" t="s">
        <v>495</v>
      </c>
      <c r="F16" s="5" t="s">
        <v>543</v>
      </c>
      <c r="G16" s="4" t="s">
        <v>189</v>
      </c>
      <c r="H16" s="4" t="s">
        <v>189</v>
      </c>
      <c r="I16" s="4"/>
      <c r="J16" s="4" t="s">
        <v>18</v>
      </c>
    </row>
    <row r="17" customFormat="false" ht="15" hidden="false" customHeight="true" outlineLevel="0" collapsed="false">
      <c r="A17" s="6" t="s">
        <v>544</v>
      </c>
      <c r="B17" s="7" t="s">
        <v>545</v>
      </c>
      <c r="C17" s="7" t="s">
        <v>546</v>
      </c>
      <c r="D17" s="7" t="s">
        <v>547</v>
      </c>
      <c r="E17" s="6" t="s">
        <v>495</v>
      </c>
      <c r="F17" s="7" t="s">
        <v>548</v>
      </c>
      <c r="G17" s="6" t="s">
        <v>189</v>
      </c>
      <c r="H17" s="6" t="s">
        <v>189</v>
      </c>
      <c r="I17" s="6"/>
      <c r="J17" s="6" t="s">
        <v>18</v>
      </c>
    </row>
    <row r="18" customFormat="false" ht="15" hidden="false" customHeight="true" outlineLevel="0" collapsed="false">
      <c r="A18" s="4" t="s">
        <v>549</v>
      </c>
      <c r="B18" s="5" t="s">
        <v>545</v>
      </c>
      <c r="C18" s="5" t="s">
        <v>550</v>
      </c>
      <c r="D18" s="5" t="s">
        <v>547</v>
      </c>
      <c r="E18" s="4" t="s">
        <v>495</v>
      </c>
      <c r="F18" s="5" t="s">
        <v>548</v>
      </c>
      <c r="G18" s="4" t="s">
        <v>189</v>
      </c>
      <c r="H18" s="4" t="s">
        <v>189</v>
      </c>
      <c r="I18" s="4"/>
      <c r="J18" s="4" t="s">
        <v>18</v>
      </c>
    </row>
    <row r="19" customFormat="false" ht="15" hidden="false" customHeight="true" outlineLevel="0" collapsed="false">
      <c r="A19" s="6" t="s">
        <v>551</v>
      </c>
      <c r="B19" s="7" t="s">
        <v>545</v>
      </c>
      <c r="C19" s="7" t="s">
        <v>552</v>
      </c>
      <c r="D19" s="7" t="s">
        <v>547</v>
      </c>
      <c r="E19" s="6" t="s">
        <v>495</v>
      </c>
      <c r="F19" s="7" t="s">
        <v>548</v>
      </c>
      <c r="G19" s="6" t="s">
        <v>189</v>
      </c>
      <c r="H19" s="6" t="s">
        <v>189</v>
      </c>
      <c r="I19" s="6"/>
      <c r="J19" s="6" t="s">
        <v>18</v>
      </c>
    </row>
    <row r="20" customFormat="false" ht="15" hidden="false" customHeight="true" outlineLevel="0" collapsed="false">
      <c r="A20" s="4" t="s">
        <v>553</v>
      </c>
      <c r="B20" s="5" t="s">
        <v>554</v>
      </c>
      <c r="C20" s="5" t="s">
        <v>555</v>
      </c>
      <c r="D20" s="5" t="s">
        <v>556</v>
      </c>
      <c r="E20" s="4" t="s">
        <v>557</v>
      </c>
      <c r="F20" s="5" t="s">
        <v>558</v>
      </c>
      <c r="G20" s="4" t="s">
        <v>497</v>
      </c>
      <c r="H20" s="4" t="s">
        <v>189</v>
      </c>
      <c r="I20" s="4"/>
      <c r="J20" s="4" t="s">
        <v>18</v>
      </c>
    </row>
    <row r="21" customFormat="false" ht="15" hidden="false" customHeight="true" outlineLevel="0" collapsed="false">
      <c r="A21" s="6" t="s">
        <v>559</v>
      </c>
      <c r="B21" s="7" t="s">
        <v>560</v>
      </c>
      <c r="C21" s="7" t="s">
        <v>561</v>
      </c>
      <c r="D21" s="7" t="s">
        <v>562</v>
      </c>
      <c r="E21" s="6" t="s">
        <v>495</v>
      </c>
      <c r="F21" s="7" t="s">
        <v>563</v>
      </c>
      <c r="G21" s="6" t="s">
        <v>497</v>
      </c>
      <c r="H21" s="6" t="s">
        <v>189</v>
      </c>
      <c r="I21" s="6"/>
      <c r="J21" s="6" t="s">
        <v>18</v>
      </c>
    </row>
    <row r="22" customFormat="false" ht="15" hidden="false" customHeight="true" outlineLevel="0" collapsed="false">
      <c r="A22" s="4" t="s">
        <v>564</v>
      </c>
      <c r="B22" s="5" t="s">
        <v>565</v>
      </c>
      <c r="C22" s="5" t="s">
        <v>566</v>
      </c>
      <c r="D22" s="5" t="s">
        <v>567</v>
      </c>
      <c r="E22" s="4" t="s">
        <v>495</v>
      </c>
      <c r="F22" s="5" t="s">
        <v>568</v>
      </c>
      <c r="G22" s="4" t="s">
        <v>502</v>
      </c>
      <c r="H22" s="4" t="s">
        <v>189</v>
      </c>
      <c r="I22" s="4"/>
      <c r="J22" s="4" t="s">
        <v>18</v>
      </c>
    </row>
    <row r="23" customFormat="false" ht="15" hidden="false" customHeight="true" outlineLevel="0" collapsed="false">
      <c r="A23" s="6" t="s">
        <v>569</v>
      </c>
      <c r="B23" s="7" t="s">
        <v>565</v>
      </c>
      <c r="C23" s="7" t="s">
        <v>570</v>
      </c>
      <c r="D23" s="7" t="s">
        <v>571</v>
      </c>
      <c r="E23" s="6" t="s">
        <v>495</v>
      </c>
      <c r="F23" s="7" t="s">
        <v>526</v>
      </c>
      <c r="G23" s="6" t="s">
        <v>497</v>
      </c>
      <c r="H23" s="6" t="s">
        <v>189</v>
      </c>
      <c r="I23" s="6"/>
      <c r="J23" s="6" t="s">
        <v>18</v>
      </c>
    </row>
    <row r="24" customFormat="false" ht="15" hidden="false" customHeight="true" outlineLevel="0" collapsed="false">
      <c r="A24" s="4" t="s">
        <v>572</v>
      </c>
      <c r="B24" s="5" t="s">
        <v>565</v>
      </c>
      <c r="C24" s="5" t="s">
        <v>573</v>
      </c>
      <c r="D24" s="5" t="s">
        <v>574</v>
      </c>
      <c r="E24" s="4" t="s">
        <v>514</v>
      </c>
      <c r="F24" s="5" t="s">
        <v>575</v>
      </c>
      <c r="G24" s="4" t="s">
        <v>502</v>
      </c>
      <c r="H24" s="4" t="s">
        <v>189</v>
      </c>
      <c r="I24" s="4"/>
      <c r="J24" s="4" t="s">
        <v>18</v>
      </c>
    </row>
    <row r="25" customFormat="false" ht="15" hidden="false" customHeight="true" outlineLevel="0" collapsed="false">
      <c r="A25" s="6" t="s">
        <v>576</v>
      </c>
      <c r="B25" s="7" t="s">
        <v>565</v>
      </c>
      <c r="C25" s="7" t="s">
        <v>577</v>
      </c>
      <c r="D25" s="7" t="s">
        <v>578</v>
      </c>
      <c r="E25" s="6" t="s">
        <v>495</v>
      </c>
      <c r="F25" s="7" t="s">
        <v>506</v>
      </c>
      <c r="G25" s="6" t="s">
        <v>497</v>
      </c>
      <c r="H25" s="6" t="s">
        <v>189</v>
      </c>
      <c r="I25" s="6"/>
      <c r="J25" s="6" t="s">
        <v>18</v>
      </c>
    </row>
    <row r="26" customFormat="false" ht="15" hidden="false" customHeight="true" outlineLevel="0" collapsed="false">
      <c r="A26" s="4" t="s">
        <v>579</v>
      </c>
      <c r="B26" s="5" t="s">
        <v>565</v>
      </c>
      <c r="C26" s="5" t="s">
        <v>580</v>
      </c>
      <c r="D26" s="5" t="s">
        <v>581</v>
      </c>
      <c r="E26" s="4" t="s">
        <v>495</v>
      </c>
      <c r="F26" s="5" t="s">
        <v>526</v>
      </c>
      <c r="G26" s="4" t="s">
        <v>189</v>
      </c>
      <c r="H26" s="4" t="s">
        <v>189</v>
      </c>
      <c r="I26" s="4"/>
      <c r="J26" s="4" t="s">
        <v>18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13"/>
    <col collapsed="false" customWidth="true" hidden="false" outlineLevel="0" max="4" min="4" style="1" width="88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7" min="7" style="1" width="15"/>
    <col collapsed="false" customWidth="true" hidden="false" outlineLevel="0" max="8" min="8" style="1" width="14"/>
    <col collapsed="false" customWidth="true" hidden="false" outlineLevel="0" max="9" min="9" style="1" width="10"/>
  </cols>
  <sheetData>
    <row r="2" customFormat="false" ht="24" hidden="false" customHeight="true" outlineLevel="0" collapsed="false">
      <c r="A2" s="2" t="s">
        <v>582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583</v>
      </c>
      <c r="B3" s="3" t="s">
        <v>584</v>
      </c>
      <c r="C3" s="3" t="s">
        <v>4</v>
      </c>
      <c r="D3" s="3" t="s">
        <v>585</v>
      </c>
      <c r="E3" s="3" t="s">
        <v>2</v>
      </c>
      <c r="F3" s="3" t="s">
        <v>586</v>
      </c>
      <c r="G3" s="3" t="s">
        <v>350</v>
      </c>
      <c r="H3" s="3" t="s">
        <v>351</v>
      </c>
      <c r="I3" s="3" t="s">
        <v>9</v>
      </c>
    </row>
    <row r="4" customFormat="false" ht="15" hidden="false" customHeight="true" outlineLevel="0" collapsed="false">
      <c r="A4" s="4" t="s">
        <v>587</v>
      </c>
      <c r="B4" s="5" t="s">
        <v>588</v>
      </c>
      <c r="C4" s="4" t="s">
        <v>589</v>
      </c>
      <c r="D4" s="5" t="s">
        <v>590</v>
      </c>
      <c r="E4" s="4" t="s">
        <v>12</v>
      </c>
      <c r="F4" s="5" t="s">
        <v>53</v>
      </c>
      <c r="G4" s="4" t="s">
        <v>591</v>
      </c>
      <c r="H4" s="4"/>
      <c r="I4" s="4" t="s">
        <v>18</v>
      </c>
    </row>
    <row r="5" customFormat="false" ht="15" hidden="false" customHeight="true" outlineLevel="0" collapsed="false">
      <c r="A5" s="6" t="s">
        <v>592</v>
      </c>
      <c r="B5" s="7" t="s">
        <v>593</v>
      </c>
      <c r="C5" s="6" t="s">
        <v>589</v>
      </c>
      <c r="D5" s="7" t="s">
        <v>594</v>
      </c>
      <c r="E5" s="6" t="s">
        <v>123</v>
      </c>
      <c r="F5" s="7" t="s">
        <v>23</v>
      </c>
      <c r="G5" s="6" t="s">
        <v>591</v>
      </c>
      <c r="H5" s="6"/>
      <c r="I5" s="6" t="s">
        <v>18</v>
      </c>
    </row>
    <row r="6" customFormat="false" ht="15" hidden="false" customHeight="true" outlineLevel="0" collapsed="false">
      <c r="A6" s="4" t="s">
        <v>595</v>
      </c>
      <c r="B6" s="5" t="s">
        <v>596</v>
      </c>
      <c r="C6" s="4" t="s">
        <v>589</v>
      </c>
      <c r="D6" s="5" t="s">
        <v>597</v>
      </c>
      <c r="E6" s="4" t="s">
        <v>123</v>
      </c>
      <c r="F6" s="5" t="s">
        <v>23</v>
      </c>
      <c r="G6" s="4" t="s">
        <v>591</v>
      </c>
      <c r="H6" s="4"/>
      <c r="I6" s="4" t="s">
        <v>18</v>
      </c>
    </row>
    <row r="7" customFormat="false" ht="15" hidden="false" customHeight="true" outlineLevel="0" collapsed="false">
      <c r="A7" s="6" t="s">
        <v>598</v>
      </c>
      <c r="B7" s="7" t="s">
        <v>599</v>
      </c>
      <c r="C7" s="6" t="s">
        <v>589</v>
      </c>
      <c r="D7" s="7" t="s">
        <v>600</v>
      </c>
      <c r="E7" s="6" t="s">
        <v>123</v>
      </c>
      <c r="F7" s="7" t="s">
        <v>23</v>
      </c>
      <c r="G7" s="6" t="s">
        <v>591</v>
      </c>
      <c r="H7" s="6"/>
      <c r="I7" s="6" t="s">
        <v>18</v>
      </c>
    </row>
    <row r="8" customFormat="false" ht="15" hidden="false" customHeight="true" outlineLevel="0" collapsed="false">
      <c r="A8" s="4" t="s">
        <v>601</v>
      </c>
      <c r="B8" s="5" t="s">
        <v>602</v>
      </c>
      <c r="C8" s="4" t="s">
        <v>589</v>
      </c>
      <c r="D8" s="5" t="s">
        <v>603</v>
      </c>
      <c r="E8" s="4" t="s">
        <v>123</v>
      </c>
      <c r="F8" s="5" t="s">
        <v>23</v>
      </c>
      <c r="G8" s="4" t="s">
        <v>591</v>
      </c>
      <c r="H8" s="4"/>
      <c r="I8" s="4" t="s">
        <v>18</v>
      </c>
    </row>
    <row r="9" customFormat="false" ht="15" hidden="false" customHeight="true" outlineLevel="0" collapsed="false">
      <c r="A9" s="6" t="s">
        <v>604</v>
      </c>
      <c r="B9" s="7" t="s">
        <v>605</v>
      </c>
      <c r="C9" s="6" t="s">
        <v>589</v>
      </c>
      <c r="D9" s="7" t="s">
        <v>606</v>
      </c>
      <c r="E9" s="6" t="s">
        <v>40</v>
      </c>
      <c r="F9" s="7" t="s">
        <v>14</v>
      </c>
      <c r="G9" s="6" t="s">
        <v>591</v>
      </c>
      <c r="H9" s="6"/>
      <c r="I9" s="6" t="s">
        <v>18</v>
      </c>
    </row>
    <row r="10" customFormat="false" ht="15" hidden="false" customHeight="true" outlineLevel="0" collapsed="false">
      <c r="A10" s="4" t="s">
        <v>607</v>
      </c>
      <c r="B10" s="5" t="s">
        <v>608</v>
      </c>
      <c r="C10" s="4" t="s">
        <v>589</v>
      </c>
      <c r="D10" s="5" t="s">
        <v>609</v>
      </c>
      <c r="E10" s="4" t="s">
        <v>45</v>
      </c>
      <c r="F10" s="5" t="s">
        <v>23</v>
      </c>
      <c r="G10" s="4" t="s">
        <v>591</v>
      </c>
      <c r="H10" s="4"/>
      <c r="I10" s="4" t="s">
        <v>18</v>
      </c>
    </row>
    <row r="11" customFormat="false" ht="15" hidden="false" customHeight="true" outlineLevel="0" collapsed="false">
      <c r="A11" s="6" t="s">
        <v>610</v>
      </c>
      <c r="B11" s="7" t="s">
        <v>611</v>
      </c>
      <c r="C11" s="6" t="s">
        <v>589</v>
      </c>
      <c r="D11" s="7" t="s">
        <v>612</v>
      </c>
      <c r="E11" s="6" t="s">
        <v>45</v>
      </c>
      <c r="F11" s="7" t="s">
        <v>23</v>
      </c>
      <c r="G11" s="6" t="s">
        <v>591</v>
      </c>
      <c r="H11" s="6"/>
      <c r="I11" s="6" t="s">
        <v>18</v>
      </c>
    </row>
    <row r="12" customFormat="false" ht="15" hidden="false" customHeight="true" outlineLevel="0" collapsed="false">
      <c r="A12" s="4" t="s">
        <v>613</v>
      </c>
      <c r="B12" s="5" t="s">
        <v>614</v>
      </c>
      <c r="C12" s="4" t="s">
        <v>589</v>
      </c>
      <c r="D12" s="5" t="s">
        <v>615</v>
      </c>
      <c r="E12" s="4" t="s">
        <v>74</v>
      </c>
      <c r="F12" s="5" t="s">
        <v>23</v>
      </c>
      <c r="G12" s="4" t="s">
        <v>591</v>
      </c>
      <c r="H12" s="4"/>
      <c r="I12" s="4" t="s">
        <v>18</v>
      </c>
    </row>
    <row r="13" customFormat="false" ht="15" hidden="false" customHeight="true" outlineLevel="0" collapsed="false">
      <c r="A13" s="6" t="s">
        <v>616</v>
      </c>
      <c r="B13" s="7" t="s">
        <v>617</v>
      </c>
      <c r="C13" s="6" t="s">
        <v>589</v>
      </c>
      <c r="D13" s="7" t="s">
        <v>618</v>
      </c>
      <c r="E13" s="6" t="s">
        <v>74</v>
      </c>
      <c r="F13" s="7" t="s">
        <v>14</v>
      </c>
      <c r="G13" s="6" t="s">
        <v>591</v>
      </c>
      <c r="H13" s="6"/>
      <c r="I13" s="6" t="s">
        <v>18</v>
      </c>
    </row>
    <row r="14" customFormat="false" ht="15" hidden="false" customHeight="true" outlineLevel="0" collapsed="false">
      <c r="A14" s="4" t="s">
        <v>619</v>
      </c>
      <c r="B14" s="5" t="s">
        <v>620</v>
      </c>
      <c r="C14" s="4" t="s">
        <v>589</v>
      </c>
      <c r="D14" s="5" t="s">
        <v>621</v>
      </c>
      <c r="E14" s="4" t="s">
        <v>79</v>
      </c>
      <c r="F14" s="5" t="s">
        <v>14</v>
      </c>
      <c r="G14" s="4" t="s">
        <v>591</v>
      </c>
      <c r="H14" s="4"/>
      <c r="I14" s="4" t="s">
        <v>18</v>
      </c>
    </row>
    <row r="15" customFormat="false" ht="15" hidden="false" customHeight="true" outlineLevel="0" collapsed="false">
      <c r="A15" s="6" t="s">
        <v>622</v>
      </c>
      <c r="B15" s="7" t="s">
        <v>623</v>
      </c>
      <c r="C15" s="6" t="s">
        <v>589</v>
      </c>
      <c r="D15" s="7" t="s">
        <v>624</v>
      </c>
      <c r="E15" s="6" t="s">
        <v>68</v>
      </c>
      <c r="F15" s="7" t="s">
        <v>107</v>
      </c>
      <c r="G15" s="6" t="s">
        <v>591</v>
      </c>
      <c r="H15" s="6"/>
      <c r="I15" s="6" t="s">
        <v>18</v>
      </c>
    </row>
    <row r="16" customFormat="false" ht="23.25" hidden="false" customHeight="true" outlineLevel="0" collapsed="false">
      <c r="A16" s="4" t="s">
        <v>625</v>
      </c>
      <c r="B16" s="5" t="s">
        <v>626</v>
      </c>
      <c r="C16" s="4" t="s">
        <v>589</v>
      </c>
      <c r="D16" s="5" t="s">
        <v>627</v>
      </c>
      <c r="E16" s="4" t="s">
        <v>135</v>
      </c>
      <c r="F16" s="5" t="s">
        <v>14</v>
      </c>
      <c r="G16" s="4" t="s">
        <v>591</v>
      </c>
      <c r="H16" s="4"/>
      <c r="I16" s="4" t="s">
        <v>18</v>
      </c>
    </row>
    <row r="17" customFormat="false" ht="15" hidden="false" customHeight="true" outlineLevel="0" collapsed="false">
      <c r="A17" s="6" t="s">
        <v>628</v>
      </c>
      <c r="B17" s="7" t="s">
        <v>629</v>
      </c>
      <c r="C17" s="6" t="s">
        <v>589</v>
      </c>
      <c r="D17" s="7" t="s">
        <v>630</v>
      </c>
      <c r="E17" s="6" t="s">
        <v>51</v>
      </c>
      <c r="F17" s="7" t="s">
        <v>53</v>
      </c>
      <c r="G17" s="6" t="s">
        <v>591</v>
      </c>
      <c r="H17" s="6"/>
      <c r="I17" s="6" t="s">
        <v>18</v>
      </c>
    </row>
    <row r="18" customFormat="false" ht="23.25" hidden="false" customHeight="true" outlineLevel="0" collapsed="false">
      <c r="A18" s="4" t="s">
        <v>631</v>
      </c>
      <c r="B18" s="5" t="s">
        <v>632</v>
      </c>
      <c r="C18" s="4" t="s">
        <v>589</v>
      </c>
      <c r="D18" s="5" t="s">
        <v>633</v>
      </c>
      <c r="E18" s="4" t="s">
        <v>84</v>
      </c>
      <c r="F18" s="5" t="s">
        <v>53</v>
      </c>
      <c r="G18" s="4" t="s">
        <v>591</v>
      </c>
      <c r="H18" s="4"/>
      <c r="I18" s="4" t="s">
        <v>18</v>
      </c>
    </row>
    <row r="19" customFormat="false" ht="23.25" hidden="false" customHeight="true" outlineLevel="0" collapsed="false">
      <c r="A19" s="6" t="s">
        <v>634</v>
      </c>
      <c r="B19" s="7" t="s">
        <v>635</v>
      </c>
      <c r="C19" s="6" t="s">
        <v>589</v>
      </c>
      <c r="D19" s="7" t="s">
        <v>636</v>
      </c>
      <c r="E19" s="6" t="s">
        <v>51</v>
      </c>
      <c r="F19" s="7" t="s">
        <v>53</v>
      </c>
      <c r="G19" s="6" t="s">
        <v>591</v>
      </c>
      <c r="H19" s="6"/>
      <c r="I19" s="6" t="s">
        <v>18</v>
      </c>
    </row>
    <row r="20" customFormat="false" ht="15" hidden="false" customHeight="true" outlineLevel="0" collapsed="false">
      <c r="A20" s="4" t="s">
        <v>637</v>
      </c>
      <c r="B20" s="5" t="s">
        <v>638</v>
      </c>
      <c r="C20" s="4" t="s">
        <v>589</v>
      </c>
      <c r="D20" s="5" t="s">
        <v>639</v>
      </c>
      <c r="E20" s="4" t="s">
        <v>94</v>
      </c>
      <c r="F20" s="5" t="s">
        <v>14</v>
      </c>
      <c r="G20" s="4" t="s">
        <v>591</v>
      </c>
      <c r="H20" s="4"/>
      <c r="I20" s="4" t="s">
        <v>18</v>
      </c>
    </row>
    <row r="21" customFormat="false" ht="15" hidden="false" customHeight="true" outlineLevel="0" collapsed="false">
      <c r="A21" s="6" t="s">
        <v>640</v>
      </c>
      <c r="B21" s="7" t="s">
        <v>641</v>
      </c>
      <c r="C21" s="6" t="s">
        <v>589</v>
      </c>
      <c r="D21" s="7" t="s">
        <v>642</v>
      </c>
      <c r="E21" s="6" t="s">
        <v>105</v>
      </c>
      <c r="F21" s="7" t="s">
        <v>107</v>
      </c>
      <c r="G21" s="6" t="s">
        <v>591</v>
      </c>
      <c r="H21" s="6"/>
      <c r="I21" s="6" t="s">
        <v>18</v>
      </c>
    </row>
    <row r="22" customFormat="false" ht="23.25" hidden="false" customHeight="true" outlineLevel="0" collapsed="false">
      <c r="A22" s="4" t="s">
        <v>643</v>
      </c>
      <c r="B22" s="5" t="s">
        <v>644</v>
      </c>
      <c r="C22" s="4" t="s">
        <v>589</v>
      </c>
      <c r="D22" s="5" t="s">
        <v>645</v>
      </c>
      <c r="E22" s="4" t="s">
        <v>117</v>
      </c>
      <c r="F22" s="5" t="s">
        <v>646</v>
      </c>
      <c r="G22" s="4" t="s">
        <v>591</v>
      </c>
      <c r="H22" s="4"/>
      <c r="I22" s="4" t="s">
        <v>18</v>
      </c>
    </row>
    <row r="23" customFormat="false" ht="15" hidden="false" customHeight="true" outlineLevel="0" collapsed="false">
      <c r="A23" s="6" t="s">
        <v>647</v>
      </c>
      <c r="B23" s="7" t="s">
        <v>648</v>
      </c>
      <c r="C23" s="6" t="s">
        <v>589</v>
      </c>
      <c r="D23" s="7" t="s">
        <v>649</v>
      </c>
      <c r="E23" s="6" t="s">
        <v>21</v>
      </c>
      <c r="F23" s="7" t="s">
        <v>23</v>
      </c>
      <c r="G23" s="6" t="s">
        <v>591</v>
      </c>
      <c r="H23" s="6"/>
      <c r="I23" s="6" t="s">
        <v>18</v>
      </c>
    </row>
    <row r="24" customFormat="false" ht="15" hidden="false" customHeight="true" outlineLevel="0" collapsed="false">
      <c r="A24" s="4" t="s">
        <v>650</v>
      </c>
      <c r="B24" s="5" t="s">
        <v>651</v>
      </c>
      <c r="C24" s="4" t="s">
        <v>589</v>
      </c>
      <c r="D24" s="5" t="s">
        <v>652</v>
      </c>
      <c r="E24" s="4" t="s">
        <v>40</v>
      </c>
      <c r="F24" s="5" t="s">
        <v>23</v>
      </c>
      <c r="G24" s="4" t="s">
        <v>591</v>
      </c>
      <c r="H24" s="4"/>
      <c r="I24" s="4" t="s">
        <v>18</v>
      </c>
    </row>
    <row r="25" customFormat="false" ht="15" hidden="false" customHeight="true" outlineLevel="0" collapsed="false">
      <c r="A25" s="6" t="s">
        <v>653</v>
      </c>
      <c r="B25" s="7" t="s">
        <v>654</v>
      </c>
      <c r="C25" s="6" t="s">
        <v>655</v>
      </c>
      <c r="D25" s="7" t="s">
        <v>656</v>
      </c>
      <c r="E25" s="6" t="s">
        <v>12</v>
      </c>
      <c r="F25" s="7" t="s">
        <v>107</v>
      </c>
      <c r="G25" s="6" t="s">
        <v>591</v>
      </c>
      <c r="H25" s="6"/>
      <c r="I25" s="6" t="s">
        <v>18</v>
      </c>
    </row>
    <row r="26" customFormat="false" ht="15" hidden="false" customHeight="true" outlineLevel="0" collapsed="false">
      <c r="A26" s="4" t="s">
        <v>657</v>
      </c>
      <c r="B26" s="5" t="s">
        <v>658</v>
      </c>
      <c r="C26" s="4" t="s">
        <v>659</v>
      </c>
      <c r="D26" s="5" t="s">
        <v>660</v>
      </c>
      <c r="E26" s="4" t="s">
        <v>40</v>
      </c>
      <c r="F26" s="5" t="s">
        <v>661</v>
      </c>
      <c r="G26" s="4" t="s">
        <v>662</v>
      </c>
      <c r="H26" s="4"/>
      <c r="I26" s="4" t="s">
        <v>18</v>
      </c>
    </row>
    <row r="27" customFormat="false" ht="15" hidden="false" customHeight="true" outlineLevel="0" collapsed="false">
      <c r="A27" s="6" t="s">
        <v>663</v>
      </c>
      <c r="B27" s="7" t="s">
        <v>664</v>
      </c>
      <c r="C27" s="6" t="s">
        <v>659</v>
      </c>
      <c r="D27" s="7" t="s">
        <v>665</v>
      </c>
      <c r="E27" s="6" t="s">
        <v>51</v>
      </c>
      <c r="F27" s="7" t="s">
        <v>661</v>
      </c>
      <c r="G27" s="6" t="s">
        <v>662</v>
      </c>
      <c r="H27" s="6"/>
      <c r="I27" s="6" t="s">
        <v>18</v>
      </c>
    </row>
    <row r="28" customFormat="false" ht="15" hidden="false" customHeight="true" outlineLevel="0" collapsed="false">
      <c r="A28" s="4" t="s">
        <v>666</v>
      </c>
      <c r="B28" s="5" t="s">
        <v>667</v>
      </c>
      <c r="C28" s="4" t="s">
        <v>659</v>
      </c>
      <c r="D28" s="5" t="s">
        <v>668</v>
      </c>
      <c r="E28" s="4" t="s">
        <v>74</v>
      </c>
      <c r="F28" s="5" t="s">
        <v>661</v>
      </c>
      <c r="G28" s="4" t="s">
        <v>662</v>
      </c>
      <c r="H28" s="4"/>
      <c r="I28" s="4" t="s">
        <v>18</v>
      </c>
    </row>
    <row r="29" customFormat="false" ht="15" hidden="false" customHeight="true" outlineLevel="0" collapsed="false">
      <c r="A29" s="6" t="s">
        <v>669</v>
      </c>
      <c r="B29" s="7" t="s">
        <v>670</v>
      </c>
      <c r="C29" s="6" t="s">
        <v>659</v>
      </c>
      <c r="D29" s="7" t="s">
        <v>671</v>
      </c>
      <c r="E29" s="6" t="s">
        <v>84</v>
      </c>
      <c r="F29" s="7" t="s">
        <v>661</v>
      </c>
      <c r="G29" s="6" t="s">
        <v>662</v>
      </c>
      <c r="H29" s="6"/>
      <c r="I29" s="6" t="s">
        <v>18</v>
      </c>
    </row>
    <row r="30" customFormat="false" ht="15" hidden="false" customHeight="true" outlineLevel="0" collapsed="false">
      <c r="A30" s="4" t="s">
        <v>672</v>
      </c>
      <c r="B30" s="5" t="s">
        <v>673</v>
      </c>
      <c r="C30" s="4" t="s">
        <v>659</v>
      </c>
      <c r="D30" s="5" t="s">
        <v>674</v>
      </c>
      <c r="E30" s="4" t="s">
        <v>140</v>
      </c>
      <c r="F30" s="5" t="s">
        <v>661</v>
      </c>
      <c r="G30" s="4" t="s">
        <v>662</v>
      </c>
      <c r="H30" s="4"/>
      <c r="I30" s="4" t="s">
        <v>18</v>
      </c>
    </row>
    <row r="31" customFormat="false" ht="15" hidden="false" customHeight="true" outlineLevel="0" collapsed="false">
      <c r="A31" s="6" t="s">
        <v>675</v>
      </c>
      <c r="B31" s="7" t="s">
        <v>676</v>
      </c>
      <c r="C31" s="6" t="s">
        <v>677</v>
      </c>
      <c r="D31" s="7" t="s">
        <v>678</v>
      </c>
      <c r="E31" s="6" t="s">
        <v>117</v>
      </c>
      <c r="F31" s="7" t="s">
        <v>646</v>
      </c>
      <c r="G31" s="6" t="s">
        <v>591</v>
      </c>
      <c r="H31" s="6"/>
      <c r="I31" s="6" t="s">
        <v>18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0"/>
    <col collapsed="false" customWidth="true" hidden="false" outlineLevel="0" max="3" min="3" style="1" width="58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16"/>
    <col collapsed="false" customWidth="true" hidden="false" outlineLevel="0" max="7" min="7" style="1" width="12"/>
  </cols>
  <sheetData>
    <row r="2" customFormat="false" ht="24" hidden="false" customHeight="true" outlineLevel="0" collapsed="false">
      <c r="A2" s="2" t="s">
        <v>679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680</v>
      </c>
      <c r="B3" s="3" t="s">
        <v>681</v>
      </c>
      <c r="C3" s="3" t="s">
        <v>682</v>
      </c>
      <c r="D3" s="3" t="s">
        <v>683</v>
      </c>
      <c r="E3" s="3" t="s">
        <v>684</v>
      </c>
      <c r="F3" s="3" t="s">
        <v>685</v>
      </c>
      <c r="G3" s="3" t="s">
        <v>9</v>
      </c>
    </row>
    <row r="4" customFormat="false" ht="23.25" hidden="false" customHeight="true" outlineLevel="0" collapsed="false">
      <c r="A4" s="4" t="s">
        <v>686</v>
      </c>
      <c r="B4" s="5" t="s">
        <v>687</v>
      </c>
      <c r="C4" s="5" t="s">
        <v>688</v>
      </c>
      <c r="D4" s="5" t="s">
        <v>689</v>
      </c>
      <c r="E4" s="5" t="s">
        <v>690</v>
      </c>
      <c r="F4" s="5" t="s">
        <v>691</v>
      </c>
      <c r="G4" s="4" t="s">
        <v>692</v>
      </c>
    </row>
    <row r="5" customFormat="false" ht="23.25" hidden="false" customHeight="true" outlineLevel="0" collapsed="false">
      <c r="A5" s="6" t="s">
        <v>693</v>
      </c>
      <c r="B5" s="7" t="s">
        <v>694</v>
      </c>
      <c r="C5" s="7" t="s">
        <v>695</v>
      </c>
      <c r="D5" s="7" t="s">
        <v>696</v>
      </c>
      <c r="E5" s="7" t="s">
        <v>697</v>
      </c>
      <c r="F5" s="7" t="s">
        <v>698</v>
      </c>
      <c r="G5" s="6" t="s">
        <v>692</v>
      </c>
    </row>
    <row r="6" customFormat="false" ht="15" hidden="false" customHeight="true" outlineLevel="0" collapsed="false">
      <c r="A6" s="4" t="s">
        <v>699</v>
      </c>
      <c r="B6" s="5" t="s">
        <v>700</v>
      </c>
      <c r="C6" s="5" t="s">
        <v>701</v>
      </c>
      <c r="D6" s="5" t="s">
        <v>702</v>
      </c>
      <c r="E6" s="5" t="s">
        <v>703</v>
      </c>
      <c r="F6" s="5" t="s">
        <v>704</v>
      </c>
      <c r="G6" s="4" t="s">
        <v>692</v>
      </c>
    </row>
    <row r="7" customFormat="false" ht="23.25" hidden="false" customHeight="true" outlineLevel="0" collapsed="false">
      <c r="A7" s="6" t="s">
        <v>705</v>
      </c>
      <c r="B7" s="7" t="s">
        <v>706</v>
      </c>
      <c r="C7" s="7" t="s">
        <v>707</v>
      </c>
      <c r="D7" s="7" t="s">
        <v>708</v>
      </c>
      <c r="E7" s="7" t="s">
        <v>709</v>
      </c>
      <c r="F7" s="7" t="s">
        <v>710</v>
      </c>
      <c r="G7" s="6" t="s">
        <v>692</v>
      </c>
    </row>
    <row r="8" customFormat="false" ht="23.25" hidden="false" customHeight="true" outlineLevel="0" collapsed="false">
      <c r="A8" s="4" t="s">
        <v>711</v>
      </c>
      <c r="B8" s="5" t="s">
        <v>712</v>
      </c>
      <c r="C8" s="5" t="s">
        <v>713</v>
      </c>
      <c r="D8" s="5" t="s">
        <v>714</v>
      </c>
      <c r="E8" s="5" t="s">
        <v>715</v>
      </c>
      <c r="F8" s="5" t="s">
        <v>716</v>
      </c>
      <c r="G8" s="4" t="s">
        <v>692</v>
      </c>
    </row>
    <row r="9" customFormat="false" ht="23.25" hidden="false" customHeight="true" outlineLevel="0" collapsed="false">
      <c r="A9" s="6" t="s">
        <v>717</v>
      </c>
      <c r="B9" s="7" t="s">
        <v>718</v>
      </c>
      <c r="C9" s="7" t="s">
        <v>719</v>
      </c>
      <c r="D9" s="7" t="s">
        <v>720</v>
      </c>
      <c r="E9" s="7" t="s">
        <v>721</v>
      </c>
      <c r="F9" s="7" t="s">
        <v>722</v>
      </c>
      <c r="G9" s="6" t="s">
        <v>692</v>
      </c>
    </row>
    <row r="10" customFormat="false" ht="23.25" hidden="false" customHeight="true" outlineLevel="0" collapsed="false">
      <c r="A10" s="4" t="s">
        <v>723</v>
      </c>
      <c r="B10" s="5" t="s">
        <v>724</v>
      </c>
      <c r="C10" s="5" t="s">
        <v>725</v>
      </c>
      <c r="D10" s="5" t="s">
        <v>726</v>
      </c>
      <c r="E10" s="5" t="s">
        <v>727</v>
      </c>
      <c r="F10" s="5" t="s">
        <v>704</v>
      </c>
      <c r="G10" s="4" t="s">
        <v>692</v>
      </c>
    </row>
    <row r="11" customFormat="false" ht="23.25" hidden="false" customHeight="true" outlineLevel="0" collapsed="false">
      <c r="A11" s="6" t="s">
        <v>728</v>
      </c>
      <c r="B11" s="7" t="s">
        <v>729</v>
      </c>
      <c r="C11" s="7" t="s">
        <v>730</v>
      </c>
      <c r="D11" s="7" t="s">
        <v>731</v>
      </c>
      <c r="E11" s="7" t="s">
        <v>732</v>
      </c>
      <c r="F11" s="7" t="s">
        <v>733</v>
      </c>
      <c r="G11" s="6" t="s">
        <v>692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8"/>
    <col collapsed="false" customWidth="true" hidden="false" outlineLevel="0" max="3" min="3" style="1" width="34"/>
    <col collapsed="false" customWidth="true" hidden="false" outlineLevel="0" max="4" min="4" style="1" width="62"/>
  </cols>
  <sheetData>
    <row r="2" customFormat="false" ht="24" hidden="false" customHeight="true" outlineLevel="0" collapsed="false">
      <c r="A2" s="2" t="s">
        <v>734</v>
      </c>
      <c r="B2" s="2"/>
      <c r="C2" s="2"/>
      <c r="D2" s="2"/>
    </row>
    <row r="3" customFormat="false" ht="15" hidden="false" customHeight="true" outlineLevel="0" collapsed="false">
      <c r="A3" s="15" t="s">
        <v>735</v>
      </c>
      <c r="B3" s="16"/>
      <c r="C3" s="15" t="s">
        <v>736</v>
      </c>
      <c r="D3" s="16"/>
    </row>
    <row r="4" customFormat="false" ht="15" hidden="false" customHeight="true" outlineLevel="0" collapsed="false">
      <c r="A4" s="16" t="s">
        <v>164</v>
      </c>
      <c r="B4" s="16" t="s">
        <v>737</v>
      </c>
      <c r="C4" s="16" t="s">
        <v>589</v>
      </c>
      <c r="D4" s="16" t="s">
        <v>738</v>
      </c>
    </row>
    <row r="5" customFormat="false" ht="15" hidden="false" customHeight="true" outlineLevel="0" collapsed="false">
      <c r="A5" s="16" t="s">
        <v>165</v>
      </c>
      <c r="B5" s="16" t="s">
        <v>739</v>
      </c>
      <c r="C5" s="16" t="s">
        <v>655</v>
      </c>
      <c r="D5" s="16" t="s">
        <v>740</v>
      </c>
    </row>
    <row r="6" customFormat="false" ht="15" hidden="false" customHeight="true" outlineLevel="0" collapsed="false">
      <c r="A6" s="16" t="s">
        <v>18</v>
      </c>
      <c r="B6" s="16" t="s">
        <v>741</v>
      </c>
      <c r="C6" s="16" t="s">
        <v>677</v>
      </c>
      <c r="D6" s="16" t="s">
        <v>742</v>
      </c>
    </row>
    <row r="7" customFormat="false" ht="15" hidden="false" customHeight="true" outlineLevel="0" collapsed="false">
      <c r="A7" s="16" t="s">
        <v>743</v>
      </c>
      <c r="B7" s="16" t="s">
        <v>744</v>
      </c>
      <c r="C7" s="16" t="s">
        <v>659</v>
      </c>
      <c r="D7" s="16" t="s">
        <v>745</v>
      </c>
    </row>
    <row r="8" customFormat="false" ht="15" hidden="false" customHeight="true" outlineLevel="0" collapsed="false">
      <c r="A8" s="16" t="s">
        <v>181</v>
      </c>
      <c r="B8" s="16" t="s">
        <v>746</v>
      </c>
      <c r="C8" s="16"/>
      <c r="D8" s="16"/>
    </row>
    <row r="9" customFormat="false" ht="15" hidden="false" customHeight="true" outlineLevel="0" collapsed="false">
      <c r="A9" s="16"/>
      <c r="B9" s="16"/>
      <c r="C9" s="15" t="s">
        <v>747</v>
      </c>
      <c r="D9" s="16"/>
    </row>
    <row r="10" customFormat="false" ht="15" hidden="false" customHeight="true" outlineLevel="0" collapsed="false">
      <c r="A10" s="15" t="s">
        <v>748</v>
      </c>
      <c r="B10" s="16"/>
      <c r="C10" s="16" t="s">
        <v>53</v>
      </c>
      <c r="D10" s="16" t="s">
        <v>749</v>
      </c>
    </row>
    <row r="11" customFormat="false" ht="15" hidden="false" customHeight="true" outlineLevel="0" collapsed="false">
      <c r="A11" s="16" t="s">
        <v>14</v>
      </c>
      <c r="B11" s="16" t="s">
        <v>750</v>
      </c>
      <c r="C11" s="16" t="s">
        <v>14</v>
      </c>
      <c r="D11" s="16" t="s">
        <v>751</v>
      </c>
    </row>
    <row r="12" customFormat="false" ht="15" hidden="false" customHeight="true" outlineLevel="0" collapsed="false">
      <c r="A12" s="16" t="s">
        <v>125</v>
      </c>
      <c r="B12" s="16" t="s">
        <v>752</v>
      </c>
      <c r="C12" s="16" t="s">
        <v>23</v>
      </c>
      <c r="D12" s="16" t="s">
        <v>753</v>
      </c>
    </row>
    <row r="13" customFormat="false" ht="15" hidden="false" customHeight="true" outlineLevel="0" collapsed="false">
      <c r="A13" s="16" t="s">
        <v>23</v>
      </c>
      <c r="B13" s="16" t="s">
        <v>754</v>
      </c>
      <c r="C13" s="16" t="s">
        <v>107</v>
      </c>
      <c r="D13" s="16" t="s">
        <v>755</v>
      </c>
    </row>
    <row r="14" customFormat="false" ht="15" hidden="false" customHeight="true" outlineLevel="0" collapsed="false">
      <c r="A14" s="16" t="s">
        <v>53</v>
      </c>
      <c r="B14" s="16" t="s">
        <v>756</v>
      </c>
      <c r="C14" s="16" t="s">
        <v>661</v>
      </c>
      <c r="D14" s="16" t="s">
        <v>757</v>
      </c>
    </row>
    <row r="15" customFormat="false" ht="15" hidden="false" customHeight="true" outlineLevel="0" collapsed="false">
      <c r="A15" s="16" t="s">
        <v>107</v>
      </c>
      <c r="B15" s="16" t="s">
        <v>758</v>
      </c>
      <c r="C15" s="16" t="s">
        <v>646</v>
      </c>
      <c r="D15" s="16" t="s">
        <v>759</v>
      </c>
    </row>
    <row r="16" customFormat="false" ht="15" hidden="false" customHeight="true" outlineLevel="0" collapsed="false">
      <c r="A16" s="15" t="s">
        <v>760</v>
      </c>
      <c r="B16" s="16"/>
      <c r="C16" s="15" t="s">
        <v>761</v>
      </c>
      <c r="D16" s="16"/>
    </row>
    <row r="17" customFormat="false" ht="15" hidden="false" customHeight="true" outlineLevel="0" collapsed="false">
      <c r="A17" s="16" t="s">
        <v>15</v>
      </c>
      <c r="B17" s="16" t="s">
        <v>762</v>
      </c>
      <c r="C17" s="16" t="s">
        <v>591</v>
      </c>
      <c r="D17" s="16" t="s">
        <v>763</v>
      </c>
    </row>
    <row r="18" customFormat="false" ht="15" hidden="false" customHeight="true" outlineLevel="0" collapsed="false">
      <c r="A18" s="16" t="s">
        <v>24</v>
      </c>
      <c r="B18" s="16" t="s">
        <v>764</v>
      </c>
      <c r="C18" s="16" t="s">
        <v>765</v>
      </c>
      <c r="D18" s="16" t="s">
        <v>766</v>
      </c>
    </row>
    <row r="19" customFormat="false" ht="15" hidden="false" customHeight="true" outlineLevel="0" collapsed="false">
      <c r="A19" s="16" t="s">
        <v>119</v>
      </c>
      <c r="B19" s="16" t="s">
        <v>767</v>
      </c>
      <c r="C19" s="16" t="s">
        <v>18</v>
      </c>
      <c r="D19" s="16" t="s">
        <v>768</v>
      </c>
    </row>
    <row r="20" customFormat="false" ht="15" hidden="false" customHeight="true" outlineLevel="0" collapsed="false">
      <c r="A20" s="16" t="s">
        <v>769</v>
      </c>
      <c r="B20" s="16" t="s">
        <v>770</v>
      </c>
      <c r="C20" s="16"/>
      <c r="D20" s="16"/>
    </row>
    <row r="21" customFormat="false" ht="15" hidden="false" customHeight="true" outlineLevel="0" collapsed="false">
      <c r="A21" s="16"/>
      <c r="B21" s="16"/>
      <c r="C21" s="15" t="s">
        <v>771</v>
      </c>
      <c r="D21" s="16"/>
    </row>
    <row r="22" customFormat="false" ht="15" hidden="false" customHeight="true" outlineLevel="0" collapsed="false">
      <c r="A22" s="15" t="s">
        <v>772</v>
      </c>
      <c r="B22" s="16"/>
      <c r="C22" s="16" t="s">
        <v>662</v>
      </c>
      <c r="D22" s="16" t="s">
        <v>773</v>
      </c>
    </row>
    <row r="23" customFormat="false" ht="15" hidden="false" customHeight="true" outlineLevel="0" collapsed="false">
      <c r="A23" s="16" t="s">
        <v>495</v>
      </c>
      <c r="B23" s="16" t="s">
        <v>774</v>
      </c>
      <c r="C23" s="16" t="s">
        <v>775</v>
      </c>
      <c r="D23" s="16" t="s">
        <v>776</v>
      </c>
    </row>
    <row r="24" customFormat="false" ht="15" hidden="false" customHeight="true" outlineLevel="0" collapsed="false">
      <c r="A24" s="16" t="s">
        <v>514</v>
      </c>
      <c r="B24" s="16" t="s">
        <v>777</v>
      </c>
      <c r="C24" s="16" t="s">
        <v>18</v>
      </c>
      <c r="D24" s="16" t="s">
        <v>778</v>
      </c>
    </row>
    <row r="25" customFormat="false" ht="15" hidden="false" customHeight="true" outlineLevel="0" collapsed="false">
      <c r="A25" s="16" t="s">
        <v>557</v>
      </c>
      <c r="B25" s="16" t="s">
        <v>779</v>
      </c>
      <c r="C25" s="16"/>
      <c r="D25" s="16"/>
    </row>
    <row r="26" customFormat="false" ht="15" hidden="false" customHeight="true" outlineLevel="0" collapsed="false">
      <c r="A26" s="16" t="s">
        <v>780</v>
      </c>
      <c r="B26" s="16" t="s">
        <v>781</v>
      </c>
      <c r="C26" s="16"/>
      <c r="D26" s="16"/>
    </row>
    <row r="27" customFormat="false" ht="15" hidden="false" customHeight="true" outlineLevel="0" collapsed="false">
      <c r="A27" s="16"/>
      <c r="B27" s="16"/>
      <c r="C27" s="15" t="s">
        <v>782</v>
      </c>
      <c r="D27" s="16"/>
    </row>
    <row r="28" customFormat="false" ht="15" hidden="false" customHeight="true" outlineLevel="0" collapsed="false">
      <c r="A28" s="15" t="s">
        <v>783</v>
      </c>
      <c r="B28" s="16"/>
      <c r="C28" s="16" t="s">
        <v>188</v>
      </c>
      <c r="D28" s="16" t="s">
        <v>784</v>
      </c>
    </row>
    <row r="29" customFormat="false" ht="23.25" hidden="false" customHeight="true" outlineLevel="0" collapsed="false">
      <c r="A29" s="16" t="s">
        <v>785</v>
      </c>
      <c r="B29" s="16" t="s">
        <v>786</v>
      </c>
      <c r="C29" s="16" t="s">
        <v>198</v>
      </c>
      <c r="D29" s="16" t="s">
        <v>787</v>
      </c>
    </row>
    <row r="30" customFormat="false" ht="15" hidden="false" customHeight="true" outlineLevel="0" collapsed="false">
      <c r="A30" s="16" t="s">
        <v>788</v>
      </c>
      <c r="B30" s="16" t="s">
        <v>789</v>
      </c>
      <c r="C30" s="16" t="s">
        <v>220</v>
      </c>
      <c r="D30" s="16" t="s">
        <v>790</v>
      </c>
    </row>
    <row r="31" customFormat="false" ht="15" hidden="false" customHeight="true" outlineLevel="0" collapsed="false">
      <c r="A31" s="16" t="s">
        <v>791</v>
      </c>
      <c r="B31" s="16" t="s">
        <v>792</v>
      </c>
      <c r="C31" s="16" t="s">
        <v>238</v>
      </c>
      <c r="D31" s="16" t="s">
        <v>793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2026-09-17T12:24:48Z</dcterms:created>
  <dc:creator>openpyxl</dc:creator>
  <dc:description/>
  <dc:language>en-US</dc:language>
  <cp:lastModifiedBy/>
  <dcterms:modified xsi:type="dcterms:W3CDTF">2026-09-17T20:23:59Z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